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ổng hợp" sheetId="1" state="visible" r:id="rId1"/>
    <sheet name="NVC - Nhà xưởng" sheetId="2" state="visible" r:id="rId2"/>
    <sheet name="NVO - Nhà ở" sheetId="3" state="visible" r:id="rId3"/>
    <sheet name="NVS - Giàn giáo" sheetId="4" state="visible" r:id="rId4"/>
  </sheets>
  <definedNames>
    <definedName name="_xlnm._FilterDatabase" localSheetId="1" hidden="1">'NVC - Nhà xưởng'!$A$1:$J$57</definedName>
    <definedName name="_xlnm._FilterDatabase" localSheetId="2" hidden="1">'NVO - Nhà ở'!$A$1:$J$30</definedName>
    <definedName name="_xlnm._FilterDatabase" localSheetId="3" hidden="1">'NVS - Giàn giáo'!$A$1:$J$22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5E4B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1F5E4B"/>
      </patternFill>
    </fill>
  </fills>
  <borders count="2">
    <border>
      <left/>
      <right/>
      <top/>
      <bottom/>
      <diagonal/>
    </border>
    <border>
      <left style="thin">
        <color rgb="00C9D3CF"/>
      </left>
      <right style="thin">
        <color rgb="00C9D3CF"/>
      </right>
      <top style="thin">
        <color rgb="00C9D3CF"/>
      </top>
      <bottom style="thin">
        <color rgb="00C9D3C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9" fontId="0" fillId="0" borderId="0" pivotButton="0" quotePrefix="0" xfId="0"/>
    <xf numFmtId="0" fontId="3" fillId="0" borderId="0" pivotButton="0" quotePrefix="0" xfId="0"/>
    <xf numFmtId="9" fontId="3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  <dxf>
      <fill>
        <patternFill patternType="solid">
          <fgColor rgb="00FFEB9C"/>
          <b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Tổng hợp kết quả test pipeline</t>
        </is>
      </c>
    </row>
    <row r="3">
      <c r="A3" s="2" t="inlineStr">
        <is>
          <t>Công ty</t>
        </is>
      </c>
      <c r="B3" s="2" t="inlineStr">
        <is>
          <t>Tổng số bước</t>
        </is>
      </c>
      <c r="C3" s="2" t="inlineStr">
        <is>
          <t>Đạt</t>
        </is>
      </c>
      <c r="D3" s="2" t="inlineStr">
        <is>
          <t>Lỗi</t>
        </is>
      </c>
      <c r="E3" s="2" t="inlineStr">
        <is>
          <t>Không làm được</t>
        </is>
      </c>
      <c r="F3" s="2" t="inlineStr">
        <is>
          <t>Chưa làm</t>
        </is>
      </c>
      <c r="G3" s="2" t="inlineStr">
        <is>
          <t>% đã thử</t>
        </is>
      </c>
    </row>
    <row r="4">
      <c r="A4" t="inlineStr">
        <is>
          <t>NVC - Nhà xưởng</t>
        </is>
      </c>
      <c r="B4">
        <f>COUNTA('NVC - Nhà xưởng'!F2:F57)</f>
        <v/>
      </c>
      <c r="C4">
        <f>COUNTIF('NVC - Nhà xưởng'!F2:F57,"Đạt")</f>
        <v/>
      </c>
      <c r="D4">
        <f>COUNTIF('NVC - Nhà xưởng'!F2:F57,"Lỗi")</f>
        <v/>
      </c>
      <c r="E4">
        <f>COUNTIF('NVC - Nhà xưởng'!F2:F57,"Không làm được")</f>
        <v/>
      </c>
      <c r="F4">
        <f>COUNTIF('NVC - Nhà xưởng'!F2:F57,"Chưa làm")</f>
        <v/>
      </c>
      <c r="G4" s="3">
        <f>IF(B4=0,0,(C4+D4+E4)/B4)</f>
        <v/>
      </c>
    </row>
    <row r="5">
      <c r="A5" t="inlineStr">
        <is>
          <t>NVO - Nhà ở</t>
        </is>
      </c>
      <c r="B5">
        <f>COUNTA('NVO - Nhà ở'!F2:F30)</f>
        <v/>
      </c>
      <c r="C5">
        <f>COUNTIF('NVO - Nhà ở'!F2:F30,"Đạt")</f>
        <v/>
      </c>
      <c r="D5">
        <f>COUNTIF('NVO - Nhà ở'!F2:F30,"Lỗi")</f>
        <v/>
      </c>
      <c r="E5">
        <f>COUNTIF('NVO - Nhà ở'!F2:F30,"Không làm được")</f>
        <v/>
      </c>
      <c r="F5">
        <f>COUNTIF('NVO - Nhà ở'!F2:F30,"Chưa làm")</f>
        <v/>
      </c>
      <c r="G5" s="3">
        <f>IF(B5=0,0,(C5+D5+E5)/B5)</f>
        <v/>
      </c>
    </row>
    <row r="6">
      <c r="A6" t="inlineStr">
        <is>
          <t>NVS - Giàn giáo</t>
        </is>
      </c>
      <c r="B6">
        <f>COUNTA('NVS - Giàn giáo'!F2:F22)</f>
        <v/>
      </c>
      <c r="C6">
        <f>COUNTIF('NVS - Giàn giáo'!F2:F22,"Đạt")</f>
        <v/>
      </c>
      <c r="D6">
        <f>COUNTIF('NVS - Giàn giáo'!F2:F22,"Lỗi")</f>
        <v/>
      </c>
      <c r="E6">
        <f>COUNTIF('NVS - Giàn giáo'!F2:F22,"Không làm được")</f>
        <v/>
      </c>
      <c r="F6">
        <f>COUNTIF('NVS - Giàn giáo'!F2:F22,"Chưa làm")</f>
        <v/>
      </c>
      <c r="G6" s="3">
        <f>IF(B6=0,0,(C6+D6+E6)/B6)</f>
        <v/>
      </c>
    </row>
    <row r="7">
      <c r="A7" s="4" t="inlineStr">
        <is>
          <t>Tổng</t>
        </is>
      </c>
      <c r="B7" s="4">
        <f>SUM(B4:B6)</f>
        <v/>
      </c>
      <c r="C7" s="4">
        <f>SUM(C4:C6)</f>
        <v/>
      </c>
      <c r="D7" s="4">
        <f>SUM(D4:D6)</f>
        <v/>
      </c>
      <c r="E7" s="4">
        <f>SUM(E4:E6)</f>
        <v/>
      </c>
      <c r="F7" s="4">
        <f>SUM(F4:F6)</f>
        <v/>
      </c>
      <c r="G7" s="5">
        <f>IF(B7=0,0,(C7+D7+E7)/B7)</f>
        <v/>
      </c>
    </row>
    <row r="9">
      <c r="A9" t="inlineStr">
        <is>
          <t>Cách dùng: mỗi tab một công ty, làm từ trên xuống. Chọn cột «Kết quả» bằng danh sách xổ xuống; lỗi thì ghi cột «Ghi chú» và dán link ảnh chụp. «% đã thử» tính cả bước Lỗi và Không làm được vì đã được thử.</t>
        </is>
      </c>
    </row>
    <row r="10">
      <c r="A10" t="inlineStr">
        <is>
          <t>Hạn mức duyệt trong bảng là mức tạm; nếu hệ thống cấu hình khác, tin hệ thống và ghi chú chênh lệch. Không ghi mật khẩu vào file.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7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30" customWidth="1" min="2" max="2"/>
    <col width="28" customWidth="1" min="3" max="3"/>
    <col width="55" customWidth="1" min="4" max="4"/>
    <col width="55" customWidth="1" min="5" max="5"/>
    <col width="16" customWidth="1" min="6" max="6"/>
    <col width="45" customWidth="1" min="7" max="7"/>
    <col width="14" customWidth="1" min="8" max="8"/>
    <col width="12" customWidth="1" min="9" max="9"/>
    <col width="25" customWidth="1" min="10" max="10"/>
  </cols>
  <sheetData>
    <row r="1" ht="30" customHeight="1">
      <c r="A1" s="6" t="inlineStr">
        <is>
          <t>STT</t>
        </is>
      </c>
      <c r="B1" s="6" t="inlineStr">
        <is>
          <t>Nhóm</t>
        </is>
      </c>
      <c r="C1" s="6" t="inlineStr">
        <is>
          <t>Đăng nhập bằng</t>
        </is>
      </c>
      <c r="D1" s="6" t="inlineStr">
        <is>
          <t>Bước làm</t>
        </is>
      </c>
      <c r="E1" s="6" t="inlineStr">
        <is>
          <t>Kết quả đúng phải thấy</t>
        </is>
      </c>
      <c r="F1" s="6" t="inlineStr">
        <is>
          <t>Kết quả</t>
        </is>
      </c>
      <c r="G1" s="6" t="inlineStr">
        <is>
          <t>Ghi chú / mô tả lỗi</t>
        </is>
      </c>
      <c r="H1" s="6" t="inlineStr">
        <is>
          <t>Người test</t>
        </is>
      </c>
      <c r="I1" s="6" t="inlineStr">
        <is>
          <t>Ngày test</t>
        </is>
      </c>
      <c r="J1" s="6" t="inlineStr">
        <is>
          <t>Link ảnh chụp</t>
        </is>
      </c>
    </row>
    <row r="2">
      <c r="A2" s="7" t="n">
        <v>1</v>
      </c>
      <c r="B2" s="7" t="inlineStr">
        <is>
          <t>A1. Khách hàng và cơ hội</t>
        </is>
      </c>
      <c r="C2" s="7" t="inlineStr">
        <is>
          <t>Kinh doanh (NVC)</t>
        </is>
      </c>
      <c r="D2" s="7" t="inlineStr">
        <is>
          <t>Khách hàng &amp; Cơ hội → tab Khách hàng: tìm khách trước, rồi tạo khách mới</t>
        </is>
      </c>
      <c r="E2" s="7" t="inlineStr">
        <is>
          <t>Khách xuất hiện trong danh sách; tìm lại được bằng tên</t>
        </is>
      </c>
      <c r="F2" s="7" t="inlineStr">
        <is>
          <t>Chưa làm</t>
        </is>
      </c>
      <c r="G2" s="7" t="inlineStr"/>
      <c r="H2" s="7" t="inlineStr"/>
      <c r="I2" s="7" t="inlineStr"/>
      <c r="J2" s="7" t="inlineStr"/>
    </row>
    <row r="3">
      <c r="A3" s="7" t="n">
        <v>2</v>
      </c>
      <c r="B3" s="7" t="inlineStr">
        <is>
          <t>A1. Khách hàng và cơ hội</t>
        </is>
      </c>
      <c r="C3" s="7" t="inlineStr">
        <is>
          <t>Kinh doanh (NVC)</t>
        </is>
      </c>
      <c r="D3" s="7" t="inlineStr">
        <is>
          <t>Tab Cơ hội kinh doanh → Tạo cơ hội mới: chọn khách, tên, loại, giá dự kiến, hạn xử lý</t>
        </is>
      </c>
      <c r="E3" s="7" t="inlineStr">
        <is>
          <t>Cơ hội ở cột Tiếp nhận; có mã; người chịu trách nhiệm đúng</t>
        </is>
      </c>
      <c r="F3" s="7" t="inlineStr">
        <is>
          <t>Chưa làm</t>
        </is>
      </c>
      <c r="G3" s="7" t="inlineStr"/>
      <c r="H3" s="7" t="inlineStr"/>
      <c r="I3" s="7" t="inlineStr"/>
      <c r="J3" s="7" t="inlineStr"/>
    </row>
    <row r="4">
      <c r="A4" s="7" t="n">
        <v>3</v>
      </c>
      <c r="B4" s="7" t="inlineStr">
        <is>
          <t>A1. Khách hàng và cơ hội</t>
        </is>
      </c>
      <c r="C4" s="7" t="inlineStr">
        <is>
          <t>Kinh doanh (NVC)</t>
        </is>
      </c>
      <c r="D4" s="7" t="inlineStr">
        <is>
          <t>Kéo hoặc chuyển cơ hội sang bước Khảo sát</t>
        </is>
      </c>
      <c r="E4" s="7" t="inlineStr">
        <is>
          <t>Cơ hội đổi cột; Lịch sử ghi lại việc chuyển</t>
        </is>
      </c>
      <c r="F4" s="7" t="inlineStr">
        <is>
          <t>Chưa làm</t>
        </is>
      </c>
      <c r="G4" s="7" t="inlineStr"/>
      <c r="H4" s="7" t="inlineStr"/>
      <c r="I4" s="7" t="inlineStr"/>
      <c r="J4" s="7" t="inlineStr"/>
    </row>
    <row r="5">
      <c r="A5" s="7" t="n">
        <v>4</v>
      </c>
      <c r="B5" s="7" t="inlineStr">
        <is>
          <t>A1. Khách hàng và cơ hội</t>
        </is>
      </c>
      <c r="C5" s="7" t="inlineStr">
        <is>
          <t>Kinh doanh (NVC)</t>
        </is>
      </c>
      <c r="D5" s="7" t="inlineStr">
        <is>
          <t>Tab Khảo sát: đặt lịch, ghi biên bản</t>
        </is>
      </c>
      <c r="E5" s="7" t="inlineStr">
        <is>
          <t>Biên bản lưu; mở lại thấy đủ</t>
        </is>
      </c>
      <c r="F5" s="7" t="inlineStr">
        <is>
          <t>Chưa làm</t>
        </is>
      </c>
      <c r="G5" s="7" t="inlineStr"/>
      <c r="H5" s="7" t="inlineStr"/>
      <c r="I5" s="7" t="inlineStr"/>
      <c r="J5" s="7" t="inlineStr"/>
    </row>
    <row r="6">
      <c r="A6" s="7" t="n">
        <v>5</v>
      </c>
      <c r="B6" s="7" t="inlineStr">
        <is>
          <t>A2. Báo giá</t>
        </is>
      </c>
      <c r="C6" s="7" t="inlineStr">
        <is>
          <t>Kinh doanh; Tổng Giám đốc (với báo giá &gt; 500 triệu)</t>
        </is>
      </c>
      <c r="D6" s="7" t="inlineStr">
        <is>
          <t>Tab Báo giá → Lập báo giá → Gửi phê duyệt</t>
        </is>
      </c>
      <c r="E6" s="7" t="inlineStr">
        <is>
          <t>Trạng thái «Chờ duyệt»; chưa có nút Gửi cho khách</t>
        </is>
      </c>
      <c r="F6" s="7" t="inlineStr">
        <is>
          <t>Chưa làm</t>
        </is>
      </c>
      <c r="G6" s="7" t="inlineStr"/>
      <c r="H6" s="7" t="inlineStr"/>
      <c r="I6" s="7" t="inlineStr"/>
      <c r="J6" s="7" t="inlineStr"/>
    </row>
    <row r="7">
      <c r="A7" s="7" t="n">
        <v>6</v>
      </c>
      <c r="B7" s="7" t="inlineStr">
        <is>
          <t>A2. Báo giá</t>
        </is>
      </c>
      <c r="C7" s="7" t="inlineStr">
        <is>
          <t>Kinh doanh; Tổng Giám đốc (với báo giá &gt; 500 triệu)</t>
        </is>
      </c>
      <c r="D7" s="7" t="inlineStr">
        <is>
          <t>Thử báo giá lớn hơn 500 triệu</t>
        </is>
      </c>
      <c r="E7" s="7" t="inlineStr">
        <is>
          <t>Chuyển lên Tổng Giám đốc chứ không tự duyệt được</t>
        </is>
      </c>
      <c r="F7" s="7" t="inlineStr">
        <is>
          <t>Chưa làm</t>
        </is>
      </c>
      <c r="G7" s="7" t="inlineStr"/>
      <c r="H7" s="7" t="inlineStr"/>
      <c r="I7" s="7" t="inlineStr"/>
      <c r="J7" s="7" t="inlineStr"/>
    </row>
    <row r="8">
      <c r="A8" s="7" t="n">
        <v>7</v>
      </c>
      <c r="B8" s="7" t="inlineStr">
        <is>
          <t>A2. Báo giá</t>
        </is>
      </c>
      <c r="C8" s="7" t="inlineStr">
        <is>
          <t>Kinh doanh; Tổng Giám đốc (với báo giá &gt; 500 triệu)</t>
        </is>
      </c>
      <c r="D8" s="7" t="inlineStr">
        <is>
          <t>Người duyệt vào Hộp thư phê duyệt → Duyệt</t>
        </is>
      </c>
      <c r="E8" s="7" t="inlineStr">
        <is>
          <t>Báo giá thành «Đã duyệt»; người gửi nhận thông báo</t>
        </is>
      </c>
      <c r="F8" s="7" t="inlineStr">
        <is>
          <t>Chưa làm</t>
        </is>
      </c>
      <c r="G8" s="7" t="inlineStr"/>
      <c r="H8" s="7" t="inlineStr"/>
      <c r="I8" s="7" t="inlineStr"/>
      <c r="J8" s="7" t="inlineStr"/>
    </row>
    <row r="9">
      <c r="A9" s="7" t="n">
        <v>8</v>
      </c>
      <c r="B9" s="7" t="inlineStr">
        <is>
          <t>A2. Báo giá</t>
        </is>
      </c>
      <c r="C9" s="7" t="inlineStr">
        <is>
          <t>Kinh doanh; Tổng Giám đốc (với báo giá &gt; 500 triệu)</t>
        </is>
      </c>
      <c r="D9" s="7" t="inlineStr">
        <is>
          <t>Gửi cho khách → ghi phản hồi</t>
        </is>
      </c>
      <c r="E9" s="7" t="inlineStr">
        <is>
          <t>Phản hồi lưu vào lịch sử</t>
        </is>
      </c>
      <c r="F9" s="7" t="inlineStr">
        <is>
          <t>Chưa làm</t>
        </is>
      </c>
      <c r="G9" s="7" t="inlineStr"/>
      <c r="H9" s="7" t="inlineStr"/>
      <c r="I9" s="7" t="inlineStr"/>
      <c r="J9" s="7" t="inlineStr"/>
    </row>
    <row r="10">
      <c r="A10" s="7" t="n">
        <v>9</v>
      </c>
      <c r="B10" s="7" t="inlineStr">
        <is>
          <t>A2. Báo giá</t>
        </is>
      </c>
      <c r="C10" s="7" t="inlineStr">
        <is>
          <t>Kinh doanh; Tổng Giám đốc (với báo giá &gt; 500 triệu)</t>
        </is>
      </c>
      <c r="D10" s="7" t="inlineStr">
        <is>
          <t>Chuyển cơ hội sang Đàm phán</t>
        </is>
      </c>
      <c r="E10" s="7" t="inlineStr">
        <is>
          <t>Nút Soạn hợp đồng bắt đầu hiện</t>
        </is>
      </c>
      <c r="F10" s="7" t="inlineStr">
        <is>
          <t>Chưa làm</t>
        </is>
      </c>
      <c r="G10" s="7" t="inlineStr"/>
      <c r="H10" s="7" t="inlineStr"/>
      <c r="I10" s="7" t="inlineStr"/>
      <c r="J10" s="7" t="inlineStr"/>
    </row>
    <row r="11">
      <c r="A11" s="7" t="n">
        <v>10</v>
      </c>
      <c r="B11" s="7" t="inlineStr">
        <is>
          <t>A3. Gói thầu và dự toán</t>
        </is>
      </c>
      <c r="C11" s="7" t="inlineStr">
        <is>
          <t>Dự án – Đấu thầu; Tổng Giám đốc</t>
        </is>
      </c>
      <c r="D11" s="7" t="inlineStr">
        <is>
          <t>Dự án – Đấu thầu → Gói thầu: tạo gói thầu từ cơ hội (cách làm chưa rõ, ghi lại cách bạn tìm ra)</t>
        </is>
      </c>
      <c r="E11" s="7" t="inlineStr">
        <is>
          <t>Gói thầu có mã, liên kết cơ hội và khách, không phải gõ lại khách</t>
        </is>
      </c>
      <c r="F11" s="7" t="inlineStr">
        <is>
          <t>Chưa làm</t>
        </is>
      </c>
      <c r="G11" s="7" t="inlineStr"/>
      <c r="H11" s="7" t="inlineStr"/>
      <c r="I11" s="7" t="inlineStr"/>
      <c r="J11" s="7" t="inlineStr"/>
    </row>
    <row r="12">
      <c r="A12" s="7" t="n">
        <v>11</v>
      </c>
      <c r="B12" s="7" t="inlineStr">
        <is>
          <t>A3. Gói thầu và dự toán</t>
        </is>
      </c>
      <c r="C12" s="7" t="inlineStr">
        <is>
          <t>Dự án – Đấu thầu; Tổng Giám đốc</t>
        </is>
      </c>
      <c r="D12" s="7" t="inlineStr">
        <is>
          <t>Đi các tab Khảo sát → Khối lượng → Dự toán</t>
        </is>
      </c>
      <c r="E12" s="7" t="inlineStr">
        <is>
          <t>Dự toán có phiên bản; tổng tiền cộng đúng</t>
        </is>
      </c>
      <c r="F12" s="7" t="inlineStr">
        <is>
          <t>Chưa làm</t>
        </is>
      </c>
      <c r="G12" s="7" t="inlineStr"/>
      <c r="H12" s="7" t="inlineStr"/>
      <c r="I12" s="7" t="inlineStr"/>
      <c r="J12" s="7" t="inlineStr"/>
    </row>
    <row r="13">
      <c r="A13" s="7" t="n">
        <v>12</v>
      </c>
      <c r="B13" s="7" t="inlineStr">
        <is>
          <t>A3. Gói thầu và dự toán</t>
        </is>
      </c>
      <c r="C13" s="7" t="inlineStr">
        <is>
          <t>Dự án – Đấu thầu; Tổng Giám đốc</t>
        </is>
      </c>
      <c r="D13" s="7" t="inlineStr">
        <is>
          <t>Gửi phê duyệt dự toán; người duyệt duyệt</t>
        </is>
      </c>
      <c r="E13" s="7" t="inlineStr">
        <is>
          <t>Giá dự thầu hiện, trạng thái đã duyệt</t>
        </is>
      </c>
      <c r="F13" s="7" t="inlineStr">
        <is>
          <t>Chưa làm</t>
        </is>
      </c>
      <c r="G13" s="7" t="inlineStr"/>
      <c r="H13" s="7" t="inlineStr"/>
      <c r="I13" s="7" t="inlineStr"/>
      <c r="J13" s="7" t="inlineStr"/>
    </row>
    <row r="14">
      <c r="A14" s="7" t="n">
        <v>13</v>
      </c>
      <c r="B14" s="7" t="inlineStr">
        <is>
          <t>A3. Gói thầu và dự toán</t>
        </is>
      </c>
      <c r="C14" s="7" t="inlineStr">
        <is>
          <t>Dự án – Đấu thầu; Tổng Giám đốc</t>
        </is>
      </c>
      <c r="D14" s="7" t="inlineStr">
        <is>
          <t>Mở «Xem cấu thành giá vốn» bằng vai trò có quyền, rồi bằng Thi công</t>
        </is>
      </c>
      <c r="E14" s="7" t="inlineStr">
        <is>
          <t>Có quyền: xem được. Không quyền: không thấy nút hoặc giá trị bị ẩn</t>
        </is>
      </c>
      <c r="F14" s="7" t="inlineStr">
        <is>
          <t>Chưa làm</t>
        </is>
      </c>
      <c r="G14" s="7" t="inlineStr"/>
      <c r="H14" s="7" t="inlineStr"/>
      <c r="I14" s="7" t="inlineStr"/>
      <c r="J14" s="7" t="inlineStr"/>
    </row>
    <row r="15">
      <c r="A15" s="7" t="n">
        <v>14</v>
      </c>
      <c r="B15" s="7" t="inlineStr">
        <is>
          <t>A3. Gói thầu và dự toán</t>
        </is>
      </c>
      <c r="C15" s="7" t="inlineStr">
        <is>
          <t>Dự án – Đấu thầu; Tổng Giám đốc</t>
        </is>
      </c>
      <c r="D15" s="7" t="inlineStr">
        <is>
          <t>Ghi nhận trúng thầu (thử thêm một gói khác ghi trượt thầu mà không nhập nguyên nhân)</t>
        </is>
      </c>
      <c r="E15" s="7" t="inlineStr">
        <is>
          <t>Trúng: gói thầu «Hoàn thành». Trượt thiếu nguyên nhân: bị chặn</t>
        </is>
      </c>
      <c r="F15" s="7" t="inlineStr">
        <is>
          <t>Chưa làm</t>
        </is>
      </c>
      <c r="G15" s="7" t="inlineStr"/>
      <c r="H15" s="7" t="inlineStr"/>
      <c r="I15" s="7" t="inlineStr"/>
      <c r="J15" s="7" t="inlineStr"/>
    </row>
    <row r="16">
      <c r="A16" s="7" t="n">
        <v>15</v>
      </c>
      <c r="B16" s="7" t="inlineStr">
        <is>
          <t>A4. Hợp đồng</t>
        </is>
      </c>
      <c r="C16" s="7" t="inlineStr">
        <is>
          <t>Dự án – Đấu thầu; Tổng Giám đốc; Kinh doanh</t>
        </is>
      </c>
      <c r="D16" s="7" t="inlineStr">
        <is>
          <t>Từ gói thầu đã trúng bấm Soạn hợp đồng</t>
        </is>
      </c>
      <c r="E16" s="7" t="inlineStr">
        <is>
          <t>Khách và giá tự điền; mã hợp đồng có</t>
        </is>
      </c>
      <c r="F16" s="7" t="inlineStr">
        <is>
          <t>Chưa làm</t>
        </is>
      </c>
      <c r="G16" s="7" t="inlineStr"/>
      <c r="H16" s="7" t="inlineStr"/>
      <c r="I16" s="7" t="inlineStr"/>
      <c r="J16" s="7" t="inlineStr"/>
    </row>
    <row r="17">
      <c r="A17" s="7" t="n">
        <v>16</v>
      </c>
      <c r="B17" s="7" t="inlineStr">
        <is>
          <t>A4. Hợp đồng</t>
        </is>
      </c>
      <c r="C17" s="7" t="inlineStr">
        <is>
          <t>Dự án – Đấu thầu; Tổng Giám đốc; Kinh doanh</t>
        </is>
      </c>
      <c r="D17" s="7" t="inlineStr">
        <is>
          <t>Gửi phê duyệt; người duyệt duyệt (thử hợp đồng &gt; 200 triệu)</t>
        </is>
      </c>
      <c r="E17" s="7" t="inlineStr">
        <is>
          <t>Lớn hơn mức thì lên Tổng Giám đốc</t>
        </is>
      </c>
      <c r="F17" s="7" t="inlineStr">
        <is>
          <t>Chưa làm</t>
        </is>
      </c>
      <c r="G17" s="7" t="inlineStr"/>
      <c r="H17" s="7" t="inlineStr"/>
      <c r="I17" s="7" t="inlineStr"/>
      <c r="J17" s="7" t="inlineStr"/>
    </row>
    <row r="18">
      <c r="A18" s="7" t="n">
        <v>17</v>
      </c>
      <c r="B18" s="7" t="inlineStr">
        <is>
          <t>A4. Hợp đồng</t>
        </is>
      </c>
      <c r="C18" s="7" t="inlineStr">
        <is>
          <t>Dự án – Đấu thầu; Tổng Giám đốc; Kinh doanh</t>
        </is>
      </c>
      <c r="D18" s="7" t="inlineStr">
        <is>
          <t>Ghi nhận đã ký: số hợp đồng, ngày ký</t>
        </is>
      </c>
      <c r="E18" s="7" t="inlineStr">
        <is>
          <t>Trạng thái «Đang hiệu lực»; thông tin ký khoá</t>
        </is>
      </c>
      <c r="F18" s="7" t="inlineStr">
        <is>
          <t>Chưa làm</t>
        </is>
      </c>
      <c r="G18" s="7" t="inlineStr"/>
      <c r="H18" s="7" t="inlineStr"/>
      <c r="I18" s="7" t="inlineStr"/>
      <c r="J18" s="7" t="inlineStr"/>
    </row>
    <row r="19">
      <c r="A19" s="7" t="n">
        <v>18</v>
      </c>
      <c r="B19" s="7" t="inlineStr">
        <is>
          <t>A4. Hợp đồng</t>
        </is>
      </c>
      <c r="C19" s="7" t="inlineStr">
        <is>
          <t>Dự án – Đấu thầu; Tổng Giám đốc; Kinh doanh</t>
        </is>
      </c>
      <c r="D19" s="7" t="inlineStr">
        <is>
          <t>Cột Truy ngược hồ sơ</t>
        </is>
      </c>
      <c r="E19" s="7" t="inlineStr">
        <is>
          <t>Thấy đúng gói thầu, dự toán, cơ hội, khách</t>
        </is>
      </c>
      <c r="F19" s="7" t="inlineStr">
        <is>
          <t>Chưa làm</t>
        </is>
      </c>
      <c r="G19" s="7" t="inlineStr"/>
      <c r="H19" s="7" t="inlineStr"/>
      <c r="I19" s="7" t="inlineStr"/>
      <c r="J19" s="7" t="inlineStr"/>
    </row>
    <row r="20">
      <c r="A20" s="7" t="n">
        <v>19</v>
      </c>
      <c r="B20" s="7" t="inlineStr">
        <is>
          <t>A4. Hợp đồng</t>
        </is>
      </c>
      <c r="C20" s="7" t="inlineStr">
        <is>
          <t>Dự án – Đấu thầu; Tổng Giám đốc; Kinh doanh</t>
        </is>
      </c>
      <c r="D20" s="7" t="inlineStr">
        <is>
          <t>Tab Điều khoản</t>
        </is>
      </c>
      <c r="E20" s="7" t="inlineStr">
        <is>
          <t>Ghi mốc thanh toán, bảo hành lưu được</t>
        </is>
      </c>
      <c r="F20" s="7" t="inlineStr">
        <is>
          <t>Chưa làm</t>
        </is>
      </c>
      <c r="G20" s="7" t="inlineStr"/>
      <c r="H20" s="7" t="inlineStr"/>
      <c r="I20" s="7" t="inlineStr"/>
      <c r="J20" s="7" t="inlineStr"/>
    </row>
    <row r="21">
      <c r="A21" s="7" t="n">
        <v>20</v>
      </c>
      <c r="B21" s="7" t="inlineStr">
        <is>
          <t>A5. Ngân sách và mở công trình</t>
        </is>
      </c>
      <c r="C21" s="7" t="inlineStr">
        <is>
          <t>Dự án – Đấu thầu</t>
        </is>
      </c>
      <c r="D21" s="7" t="inlineStr">
        <is>
          <t>Gói thầu → tab Ngân sách: lập từ dự toán đã duyệt</t>
        </is>
      </c>
      <c r="E21" s="7" t="inlineStr">
        <is>
          <t>Có các mã chi phí; tổng ngân sách khớp dự toán (phần chi phí)</t>
        </is>
      </c>
      <c r="F21" s="7" t="inlineStr">
        <is>
          <t>Chưa làm</t>
        </is>
      </c>
      <c r="G21" s="7" t="inlineStr"/>
      <c r="H21" s="7" t="inlineStr"/>
      <c r="I21" s="7" t="inlineStr"/>
      <c r="J21" s="7" t="inlineStr"/>
    </row>
    <row r="22">
      <c r="A22" s="7" t="n">
        <v>21</v>
      </c>
      <c r="B22" s="7" t="inlineStr">
        <is>
          <t>A5. Ngân sách và mở công trình</t>
        </is>
      </c>
      <c r="C22" s="7" t="inlineStr">
        <is>
          <t>Dự án – Đấu thầu</t>
        </is>
      </c>
      <c r="D22" s="7" t="inlineStr">
        <is>
          <t>Hợp đồng → Mở công trình</t>
        </is>
      </c>
      <c r="E22" s="7" t="inlineStr">
        <is>
          <t>Công trình sinh ra ở bước Chuẩn bị; mỗi hợp đồng chỉ một công trình</t>
        </is>
      </c>
      <c r="F22" s="7" t="inlineStr">
        <is>
          <t>Chưa làm</t>
        </is>
      </c>
      <c r="G22" s="7" t="inlineStr"/>
      <c r="H22" s="7" t="inlineStr"/>
      <c r="I22" s="7" t="inlineStr"/>
      <c r="J22" s="7" t="inlineStr"/>
    </row>
    <row r="23">
      <c r="A23" s="7" t="n">
        <v>22</v>
      </c>
      <c r="B23" s="7" t="inlineStr">
        <is>
          <t>A5. Ngân sách và mở công trình</t>
        </is>
      </c>
      <c r="C23" s="7" t="inlineStr">
        <is>
          <t>Dự án – Đấu thầu</t>
        </is>
      </c>
      <c r="D23" s="7" t="inlineStr">
        <is>
          <t>Bấm Mở công trình lần hai</t>
        </is>
      </c>
      <c r="E23" s="7" t="inlineStr">
        <is>
          <t>Bị chặn hoặc không còn nút</t>
        </is>
      </c>
      <c r="F23" s="7" t="inlineStr">
        <is>
          <t>Chưa làm</t>
        </is>
      </c>
      <c r="G23" s="7" t="inlineStr"/>
      <c r="H23" s="7" t="inlineStr"/>
      <c r="I23" s="7" t="inlineStr"/>
      <c r="J23" s="7" t="inlineStr"/>
    </row>
    <row r="24">
      <c r="A24" s="7" t="n">
        <v>23</v>
      </c>
      <c r="B24" s="7" t="inlineStr">
        <is>
          <t>A5. Ngân sách và mở công trình</t>
        </is>
      </c>
      <c r="C24" s="7" t="inlineStr">
        <is>
          <t>Dự án – Đấu thầu</t>
        </is>
      </c>
      <c r="D24" s="7" t="inlineStr">
        <is>
          <t>Thi công, Mua hàng, Kế toán đăng nhập</t>
        </is>
      </c>
      <c r="E24" s="7" t="inlineStr">
        <is>
          <t>Mỗi bên nhận thông báo; thấy công trình</t>
        </is>
      </c>
      <c r="F24" s="7" t="inlineStr">
        <is>
          <t>Chưa làm</t>
        </is>
      </c>
      <c r="G24" s="7" t="inlineStr"/>
      <c r="H24" s="7" t="inlineStr"/>
      <c r="I24" s="7" t="inlineStr"/>
      <c r="J24" s="7" t="inlineStr"/>
    </row>
    <row r="25">
      <c r="A25" s="7" t="n">
        <v>24</v>
      </c>
      <c r="B25" s="7" t="inlineStr">
        <is>
          <t>A5. Ngân sách và mở công trình</t>
        </is>
      </c>
      <c r="C25" s="7" t="inlineStr">
        <is>
          <t>Dự án – Đấu thầu</t>
        </is>
      </c>
      <c r="D25" s="7" t="inlineStr">
        <is>
          <t>Thi công mở ngân sách</t>
        </is>
      </c>
      <c r="E25" s="7" t="inlineStr">
        <is>
          <t>Không thấy phần lợi nhuận mục tiêu</t>
        </is>
      </c>
      <c r="F25" s="7" t="inlineStr">
        <is>
          <t>Chưa làm</t>
        </is>
      </c>
      <c r="G25" s="7" t="inlineStr"/>
      <c r="H25" s="7" t="inlineStr"/>
      <c r="I25" s="7" t="inlineStr"/>
      <c r="J25" s="7" t="inlineStr"/>
    </row>
    <row r="26">
      <c r="A26" s="7" t="n">
        <v>25</v>
      </c>
      <c r="B26" s="7" t="inlineStr">
        <is>
          <t>A6. Bắt đầu thi công</t>
        </is>
      </c>
      <c r="C26" s="7" t="inlineStr">
        <is>
          <t>Quản trị hệ thống; Trưởng phòng Thi công; Chỉ huy trưởng</t>
        </is>
      </c>
      <c r="D26" s="7" t="inlineStr">
        <is>
          <t>Quản trị → Phân công công trường: gán Chỉ huy trưởng</t>
        </is>
      </c>
      <c r="E26" s="7" t="inlineStr">
        <is>
          <t>Phân công lưu được</t>
        </is>
      </c>
      <c r="F26" s="7" t="inlineStr">
        <is>
          <t>Chưa làm</t>
        </is>
      </c>
      <c r="G26" s="7" t="inlineStr"/>
      <c r="H26" s="7" t="inlineStr"/>
      <c r="I26" s="7" t="inlineStr"/>
      <c r="J26" s="7" t="inlineStr"/>
    </row>
    <row r="27">
      <c r="A27" s="7" t="n">
        <v>26</v>
      </c>
      <c r="B27" s="7" t="inlineStr">
        <is>
          <t>A6. Bắt đầu thi công</t>
        </is>
      </c>
      <c r="C27" s="7" t="inlineStr">
        <is>
          <t>Quản trị hệ thống; Trưởng phòng Thi công; Chỉ huy trưởng</t>
        </is>
      </c>
      <c r="D27" s="7" t="inlineStr">
        <is>
          <t>Chỉ huy trưởng chưa phân công đăng nhập</t>
        </is>
      </c>
      <c r="E27" s="7" t="inlineStr">
        <is>
          <t>Không thấy công trình (thấy ít, không thấy nhiều)</t>
        </is>
      </c>
      <c r="F27" s="7" t="inlineStr">
        <is>
          <t>Chưa làm</t>
        </is>
      </c>
      <c r="G27" s="7" t="inlineStr"/>
      <c r="H27" s="7" t="inlineStr"/>
      <c r="I27" s="7" t="inlineStr"/>
      <c r="J27" s="7" t="inlineStr"/>
    </row>
    <row r="28">
      <c r="A28" s="7" t="n">
        <v>27</v>
      </c>
      <c r="B28" s="7" t="inlineStr">
        <is>
          <t>A6. Bắt đầu thi công</t>
        </is>
      </c>
      <c r="C28" s="7" t="inlineStr">
        <is>
          <t>Quản trị hệ thống; Trưởng phòng Thi công; Chỉ huy trưởng</t>
        </is>
      </c>
      <c r="D28" s="7" t="inlineStr">
        <is>
          <t>Chỉ huy trưởng đã phân công đăng nhập</t>
        </is>
      </c>
      <c r="E28" s="7" t="inlineStr">
        <is>
          <t>Thấy đúng công trình đó thôi</t>
        </is>
      </c>
      <c r="F28" s="7" t="inlineStr">
        <is>
          <t>Chưa làm</t>
        </is>
      </c>
      <c r="G28" s="7" t="inlineStr"/>
      <c r="H28" s="7" t="inlineStr"/>
      <c r="I28" s="7" t="inlineStr"/>
      <c r="J28" s="7" t="inlineStr"/>
    </row>
    <row r="29">
      <c r="A29" s="7" t="n">
        <v>28</v>
      </c>
      <c r="B29" s="7" t="inlineStr">
        <is>
          <t>A6. Bắt đầu thi công</t>
        </is>
      </c>
      <c r="C29" s="7" t="inlineStr">
        <is>
          <t>Quản trị hệ thống; Trưởng phòng Thi công; Chỉ huy trưởng</t>
        </is>
      </c>
      <c r="D29" s="7" t="inlineStr">
        <is>
          <t>Thi công mở công trình → Bắt đầu thi công</t>
        </is>
      </c>
      <c r="E29" s="7" t="inlineStr">
        <is>
          <t>Bước chuyển sang «Đang thi công»</t>
        </is>
      </c>
      <c r="F29" s="7" t="inlineStr">
        <is>
          <t>Chưa làm</t>
        </is>
      </c>
      <c r="G29" s="7" t="inlineStr"/>
      <c r="H29" s="7" t="inlineStr"/>
      <c r="I29" s="7" t="inlineStr"/>
      <c r="J29" s="7" t="inlineStr"/>
    </row>
    <row r="30">
      <c r="A30" s="7" t="n">
        <v>29</v>
      </c>
      <c r="B30" s="7" t="inlineStr">
        <is>
          <t>A6. Bắt đầu thi công</t>
        </is>
      </c>
      <c r="C30" s="7" t="inlineStr">
        <is>
          <t>Quản trị hệ thống; Trưởng phòng Thi công; Chỉ huy trưởng</t>
        </is>
      </c>
      <c r="D30" s="7" t="inlineStr">
        <is>
          <t>Tab Hồ sơ phát hành bản vẽ; tab Tổ đội gán tổ đội</t>
        </is>
      </c>
      <c r="E30" s="7" t="inlineStr">
        <is>
          <t>Lưu được; Chỉ huy trưởng xem được</t>
        </is>
      </c>
      <c r="F30" s="7" t="inlineStr">
        <is>
          <t>Chưa làm</t>
        </is>
      </c>
      <c r="G30" s="7" t="inlineStr"/>
      <c r="H30" s="7" t="inlineStr"/>
      <c r="I30" s="7" t="inlineStr"/>
      <c r="J30" s="7" t="inlineStr"/>
    </row>
    <row r="31">
      <c r="A31" s="7" t="n">
        <v>30</v>
      </c>
      <c r="B31" s="7" t="inlineStr">
        <is>
          <t>A7. Ngày ở công trường (điện thoại)</t>
        </is>
      </c>
      <c r="C31" s="7" t="inlineStr">
        <is>
          <t>Chỉ huy trưởng</t>
        </is>
      </c>
      <c r="D31" s="7" t="inlineStr">
        <is>
          <t>Điểm danh bằng ảnh</t>
        </is>
      </c>
      <c r="E31" s="7" t="inlineStr">
        <is>
          <t>Nút chụp ảnh không bị ẩn trong menu; điểm danh lưu</t>
        </is>
      </c>
      <c r="F31" s="7" t="inlineStr">
        <is>
          <t>Chưa làm</t>
        </is>
      </c>
      <c r="G31" s="7" t="inlineStr"/>
      <c r="H31" s="7" t="inlineStr"/>
      <c r="I31" s="7" t="inlineStr"/>
      <c r="J31" s="7" t="inlineStr"/>
    </row>
    <row r="32">
      <c r="A32" s="7" t="n">
        <v>31</v>
      </c>
      <c r="B32" s="7" t="inlineStr">
        <is>
          <t>A7. Ngày ở công trường (điện thoại)</t>
        </is>
      </c>
      <c r="C32" s="7" t="inlineStr">
        <is>
          <t>Chỉ huy trưởng</t>
        </is>
      </c>
      <c r="D32" s="7" t="inlineStr">
        <is>
          <t>Ghi nhật ký kèm ảnh</t>
        </is>
      </c>
      <c r="E32" s="7" t="inlineStr">
        <is>
          <t>Nhật ký lưu; thử sửa nhật ký đã lưu: không sửa được</t>
        </is>
      </c>
      <c r="F32" s="7" t="inlineStr">
        <is>
          <t>Chưa làm</t>
        </is>
      </c>
      <c r="G32" s="7" t="inlineStr"/>
      <c r="H32" s="7" t="inlineStr"/>
      <c r="I32" s="7" t="inlineStr"/>
      <c r="J32" s="7" t="inlineStr"/>
    </row>
    <row r="33">
      <c r="A33" s="7" t="n">
        <v>32</v>
      </c>
      <c r="B33" s="7" t="inlineStr">
        <is>
          <t>A7. Ngày ở công trường (điện thoại)</t>
        </is>
      </c>
      <c r="C33" s="7" t="inlineStr">
        <is>
          <t>Chỉ huy trưởng</t>
        </is>
      </c>
      <c r="D33" s="7" t="inlineStr">
        <is>
          <t>Bấm giờ toàn bộ thao tác trong ngày</t>
        </is>
      </c>
      <c r="E33" s="7" t="inlineStr">
        <is>
          <t>Trong 5–10 phút; trên 20 phút ghi là lỗi trải nghiệm</t>
        </is>
      </c>
      <c r="F33" s="7" t="inlineStr">
        <is>
          <t>Chưa làm</t>
        </is>
      </c>
      <c r="G33" s="7" t="inlineStr"/>
      <c r="H33" s="7" t="inlineStr"/>
      <c r="I33" s="7" t="inlineStr"/>
      <c r="J33" s="7" t="inlineStr"/>
    </row>
    <row r="34">
      <c r="A34" s="7" t="n">
        <v>33</v>
      </c>
      <c r="B34" s="7" t="inlineStr">
        <is>
          <t>A7. Ngày ở công trường (điện thoại)</t>
        </is>
      </c>
      <c r="C34" s="7" t="inlineStr">
        <is>
          <t>Chỉ huy trưởng</t>
        </is>
      </c>
      <c r="D34" s="7" t="inlineStr">
        <is>
          <t>Ngắt mạng giữa chừng rồi mở lại</t>
        </is>
      </c>
      <c r="E34" s="7" t="inlineStr">
        <is>
          <t>Không mất dữ liệu đang nhập; có thông báo trạng thái đồng bộ</t>
        </is>
      </c>
      <c r="F34" s="7" t="inlineStr">
        <is>
          <t>Chưa làm</t>
        </is>
      </c>
      <c r="G34" s="7" t="inlineStr"/>
      <c r="H34" s="7" t="inlineStr"/>
      <c r="I34" s="7" t="inlineStr"/>
      <c r="J34" s="7" t="inlineStr"/>
    </row>
    <row r="35">
      <c r="A35" s="7" t="n">
        <v>34</v>
      </c>
      <c r="B35" s="7" t="inlineStr">
        <is>
          <t>A8. Đề nghị và duyệt vật tư</t>
        </is>
      </c>
      <c r="C35" s="7" t="inlineStr">
        <is>
          <t>Chỉ huy trưởng; Mua hàng; Giám đốc Tài chính</t>
        </is>
      </c>
      <c r="D35" s="7" t="inlineStr">
        <is>
          <t>Đề nghị vật tư: chọn từ gợi ý, nhập số lượng → Gửi phê duyệt</t>
        </is>
      </c>
      <c r="E35" s="7" t="inlineStr">
        <is>
          <t>Trạng thái Chờ duyệt</t>
        </is>
      </c>
      <c r="F35" s="7" t="inlineStr">
        <is>
          <t>Chưa làm</t>
        </is>
      </c>
      <c r="G35" s="7" t="inlineStr"/>
      <c r="H35" s="7" t="inlineStr"/>
      <c r="I35" s="7" t="inlineStr"/>
      <c r="J35" s="7" t="inlineStr"/>
    </row>
    <row r="36">
      <c r="A36" s="7" t="n">
        <v>35</v>
      </c>
      <c r="B36" s="7" t="inlineStr">
        <is>
          <t>A8. Đề nghị và duyệt vật tư</t>
        </is>
      </c>
      <c r="C36" s="7" t="inlineStr">
        <is>
          <t>Chỉ huy trưởng; Mua hàng; Giám đốc Tài chính</t>
        </is>
      </c>
      <c r="D36" s="7" t="inlineStr">
        <is>
          <t>Theo dõi đề nghị</t>
        </is>
      </c>
      <c r="E36" s="7" t="inlineStr">
        <is>
          <t>Thấy bước hiện tại, ai giữ, chờ bao lâu</t>
        </is>
      </c>
      <c r="F36" s="7" t="inlineStr">
        <is>
          <t>Chưa làm</t>
        </is>
      </c>
      <c r="G36" s="7" t="inlineStr"/>
      <c r="H36" s="7" t="inlineStr"/>
      <c r="I36" s="7" t="inlineStr"/>
      <c r="J36" s="7" t="inlineStr"/>
    </row>
    <row r="37">
      <c r="A37" s="7" t="n">
        <v>36</v>
      </c>
      <c r="B37" s="7" t="inlineStr">
        <is>
          <t>A8. Đề nghị và duyệt vật tư</t>
        </is>
      </c>
      <c r="C37" s="7" t="inlineStr">
        <is>
          <t>Chỉ huy trưởng; Mua hàng; Giám đốc Tài chính</t>
        </is>
      </c>
      <c r="D37" s="7" t="inlineStr">
        <is>
          <t>Bấm Thúc</t>
        </is>
      </c>
      <c r="E37" s="7" t="inlineStr">
        <is>
          <t>Lịch sử ghi lần Thúc; bấm liên tục bị hạn chế</t>
        </is>
      </c>
      <c r="F37" s="7" t="inlineStr">
        <is>
          <t>Chưa làm</t>
        </is>
      </c>
      <c r="G37" s="7" t="inlineStr"/>
      <c r="H37" s="7" t="inlineStr"/>
      <c r="I37" s="7" t="inlineStr"/>
      <c r="J37" s="7" t="inlineStr"/>
    </row>
    <row r="38">
      <c r="A38" s="7" t="n">
        <v>37</v>
      </c>
      <c r="B38" s="7" t="inlineStr">
        <is>
          <t>A8. Đề nghị và duyệt vật tư</t>
        </is>
      </c>
      <c r="C38" s="7" t="inlineStr">
        <is>
          <t>Chỉ huy trưởng; Mua hàng; Giám đốc Tài chính</t>
        </is>
      </c>
      <c r="D38" s="7" t="inlineStr">
        <is>
          <t>Người duyệt từ chối không nhập lý do</t>
        </is>
      </c>
      <c r="E38" s="7" t="inlineStr">
        <is>
          <t>Bị chặn; phải nhập lý do</t>
        </is>
      </c>
      <c r="F38" s="7" t="inlineStr">
        <is>
          <t>Chưa làm</t>
        </is>
      </c>
      <c r="G38" s="7" t="inlineStr"/>
      <c r="H38" s="7" t="inlineStr"/>
      <c r="I38" s="7" t="inlineStr"/>
      <c r="J38" s="7" t="inlineStr"/>
    </row>
    <row r="39">
      <c r="A39" s="7" t="n">
        <v>38</v>
      </c>
      <c r="B39" s="7" t="inlineStr">
        <is>
          <t>A8. Đề nghị và duyệt vật tư</t>
        </is>
      </c>
      <c r="C39" s="7" t="inlineStr">
        <is>
          <t>Chỉ huy trưởng; Mua hàng; Giám đốc Tài chính</t>
        </is>
      </c>
      <c r="D39" s="7" t="inlineStr">
        <is>
          <t>Người duyệt duyệt (thử mức trên 10 triệu)</t>
        </is>
      </c>
      <c r="E39" s="7" t="inlineStr">
        <is>
          <t>Đi đúng cấp theo hạn mức; duyệt xong tự sang hồ sơ kế</t>
        </is>
      </c>
      <c r="F39" s="7" t="inlineStr">
        <is>
          <t>Chưa làm</t>
        </is>
      </c>
      <c r="G39" s="7" t="inlineStr"/>
      <c r="H39" s="7" t="inlineStr"/>
      <c r="I39" s="7" t="inlineStr"/>
      <c r="J39" s="7" t="inlineStr"/>
    </row>
    <row r="40">
      <c r="A40" s="7" t="n">
        <v>39</v>
      </c>
      <c r="B40" s="7" t="inlineStr">
        <is>
          <t>A9. Mua hàng và nhập kho</t>
        </is>
      </c>
      <c r="C40" s="7" t="inlineStr">
        <is>
          <t>Mua hàng; Kho</t>
        </is>
      </c>
      <c r="D40" s="7" t="inlineStr">
        <is>
          <t>Tab Báo giá: nhập một báo giá rồi thử chọn nhà</t>
        </is>
      </c>
      <c r="E40" s="7" t="inlineStr">
        <is>
          <t>Cần ít nhất hai báo giá mới chọn được</t>
        </is>
      </c>
      <c r="F40" s="7" t="inlineStr">
        <is>
          <t>Chưa làm</t>
        </is>
      </c>
      <c r="G40" s="7" t="inlineStr"/>
      <c r="H40" s="7" t="inlineStr"/>
      <c r="I40" s="7" t="inlineStr"/>
      <c r="J40" s="7" t="inlineStr"/>
    </row>
    <row r="41">
      <c r="A41" s="7" t="n">
        <v>40</v>
      </c>
      <c r="B41" s="7" t="inlineStr">
        <is>
          <t>A9. Mua hàng và nhập kho</t>
        </is>
      </c>
      <c r="C41" s="7" t="inlineStr">
        <is>
          <t>Mua hàng; Kho</t>
        </is>
      </c>
      <c r="D41" s="7" t="inlineStr">
        <is>
          <t>Chọn nhà không phải giá thấp nhất</t>
        </is>
      </c>
      <c r="E41" s="7" t="inlineStr">
        <is>
          <t>Bắt buộc ghi căn cứ</t>
        </is>
      </c>
      <c r="F41" s="7" t="inlineStr">
        <is>
          <t>Chưa làm</t>
        </is>
      </c>
      <c r="G41" s="7" t="inlineStr"/>
      <c r="H41" s="7" t="inlineStr"/>
      <c r="I41" s="7" t="inlineStr"/>
      <c r="J41" s="7" t="inlineStr"/>
    </row>
    <row r="42">
      <c r="A42" s="7" t="n">
        <v>41</v>
      </c>
      <c r="B42" s="7" t="inlineStr">
        <is>
          <t>A9. Mua hàng và nhập kho</t>
        </is>
      </c>
      <c r="C42" s="7" t="inlineStr">
        <is>
          <t>Mua hàng; Kho</t>
        </is>
      </c>
      <c r="D42" s="7" t="inlineStr">
        <is>
          <t>Lập đơn đặt hàng</t>
        </is>
      </c>
      <c r="E42" s="7" t="inlineStr">
        <is>
          <t>Số tiền vào «đã cam kết» của ngân sách</t>
        </is>
      </c>
      <c r="F42" s="7" t="inlineStr">
        <is>
          <t>Chưa làm</t>
        </is>
      </c>
      <c r="G42" s="7" t="inlineStr"/>
      <c r="H42" s="7" t="inlineStr"/>
      <c r="I42" s="7" t="inlineStr"/>
      <c r="J42" s="7" t="inlineStr"/>
    </row>
    <row r="43">
      <c r="A43" s="7" t="n">
        <v>42</v>
      </c>
      <c r="B43" s="7" t="inlineStr">
        <is>
          <t>A9. Mua hàng và nhập kho</t>
        </is>
      </c>
      <c r="C43" s="7" t="inlineStr">
        <is>
          <t>Mua hàng; Kho</t>
        </is>
      </c>
      <c r="D43" s="7" t="inlineStr">
        <is>
          <t>Giao nhận: ghi phần đạt và phần không đạt</t>
        </is>
      </c>
      <c r="E43" s="7" t="inlineStr">
        <is>
          <t>Chỉ phần đạt vào «chi phí thực tế»</t>
        </is>
      </c>
      <c r="F43" s="7" t="inlineStr">
        <is>
          <t>Chưa làm</t>
        </is>
      </c>
      <c r="G43" s="7" t="inlineStr"/>
      <c r="H43" s="7" t="inlineStr"/>
      <c r="I43" s="7" t="inlineStr"/>
      <c r="J43" s="7" t="inlineStr"/>
    </row>
    <row r="44">
      <c r="A44" s="7" t="n">
        <v>43</v>
      </c>
      <c r="B44" s="7" t="inlineStr">
        <is>
          <t>A9. Mua hàng và nhập kho</t>
        </is>
      </c>
      <c r="C44" s="7" t="inlineStr">
        <is>
          <t>Mua hàng; Kho</t>
        </is>
      </c>
      <c r="D44" s="7" t="inlineStr">
        <is>
          <t>Kho nhập kho theo phiếu giao nhận; xuất kho cho công trình</t>
        </is>
      </c>
      <c r="E44" s="7" t="inlineStr">
        <is>
          <t>Tồn kho tăng rồi giảm đúng; phiếu có số và ngày</t>
        </is>
      </c>
      <c r="F44" s="7" t="inlineStr">
        <is>
          <t>Chưa làm</t>
        </is>
      </c>
      <c r="G44" s="7" t="inlineStr"/>
      <c r="H44" s="7" t="inlineStr"/>
      <c r="I44" s="7" t="inlineStr"/>
      <c r="J44" s="7" t="inlineStr"/>
    </row>
    <row r="45">
      <c r="A45" s="7" t="n">
        <v>44</v>
      </c>
      <c r="B45" s="7" t="inlineStr">
        <is>
          <t>A10. Trả tiền nhà cung cấp</t>
        </is>
      </c>
      <c r="C45" s="7" t="inlineStr">
        <is>
          <t>Kế toán; Giám đốc Tài chính; Tổng Giám đốc</t>
        </is>
      </c>
      <c r="D45" s="7" t="inlineStr">
        <is>
          <t>Đơn đặt hàng → tab Chứng từ → Lập đề nghị thanh toán (từ đơn)</t>
        </is>
      </c>
      <c r="E45" s="7" t="inlineStr">
        <is>
          <t>Số tiền tự lấy từ đơn, không nhập tay</t>
        </is>
      </c>
      <c r="F45" s="7" t="inlineStr">
        <is>
          <t>Chưa làm</t>
        </is>
      </c>
      <c r="G45" s="7" t="inlineStr"/>
      <c r="H45" s="7" t="inlineStr"/>
      <c r="I45" s="7" t="inlineStr"/>
      <c r="J45" s="7" t="inlineStr"/>
    </row>
    <row r="46">
      <c r="A46" s="7" t="n">
        <v>45</v>
      </c>
      <c r="B46" s="7" t="inlineStr">
        <is>
          <t>A10. Trả tiền nhà cung cấp</t>
        </is>
      </c>
      <c r="C46" s="7" t="inlineStr">
        <is>
          <t>Kế toán; Giám đốc Tài chính; Tổng Giám đốc</t>
        </is>
      </c>
      <c r="D46" s="7" t="inlineStr">
        <is>
          <t>Đi các bước: Đơn vị xác nhận → Kế toán kiểm tra → Kiểm tra dòng tiền → Phê duyệt</t>
        </is>
      </c>
      <c r="E46" s="7" t="inlineStr">
        <is>
          <t>Mỗi bước đúng người; duyệt theo hạn mức</t>
        </is>
      </c>
      <c r="F46" s="7" t="inlineStr">
        <is>
          <t>Chưa làm</t>
        </is>
      </c>
      <c r="G46" s="7" t="inlineStr"/>
      <c r="H46" s="7" t="inlineStr"/>
      <c r="I46" s="7" t="inlineStr"/>
      <c r="J46" s="7" t="inlineStr"/>
    </row>
    <row r="47">
      <c r="A47" s="7" t="n">
        <v>46</v>
      </c>
      <c r="B47" s="7" t="inlineStr">
        <is>
          <t>A10. Trả tiền nhà cung cấp</t>
        </is>
      </c>
      <c r="C47" s="7" t="inlineStr">
        <is>
          <t>Kế toán; Giám đốc Tài chính; Tổng Giám đốc</t>
        </is>
      </c>
      <c r="D47" s="7" t="inlineStr">
        <is>
          <t>Ghi nhận đã chi → Đánh dấu đã hạch toán</t>
        </is>
      </c>
      <c r="E47" s="7" t="inlineStr">
        <is>
          <t>Trạng thái đổi; số «đã chi» cập nhật</t>
        </is>
      </c>
      <c r="F47" s="7" t="inlineStr">
        <is>
          <t>Chưa làm</t>
        </is>
      </c>
      <c r="G47" s="7" t="inlineStr"/>
      <c r="H47" s="7" t="inlineStr"/>
      <c r="I47" s="7" t="inlineStr"/>
      <c r="J47" s="7" t="inlineStr"/>
    </row>
    <row r="48">
      <c r="A48" s="7" t="n">
        <v>47</v>
      </c>
      <c r="B48" s="7" t="inlineStr">
        <is>
          <t>A10. Trả tiền nhà cung cấp</t>
        </is>
      </c>
      <c r="C48" s="7" t="inlineStr">
        <is>
          <t>Kế toán; Giám đốc Tài chính; Tổng Giám đốc</t>
        </is>
      </c>
      <c r="D48" s="7" t="inlineStr">
        <is>
          <t>Thử lập đề nghị lần hai cho cùng đơn</t>
        </is>
      </c>
      <c r="E48" s="7" t="inlineStr">
        <is>
          <t>Có cảnh báo hoặc bị chặn, không cộng hai lần</t>
        </is>
      </c>
      <c r="F48" s="7" t="inlineStr">
        <is>
          <t>Chưa làm</t>
        </is>
      </c>
      <c r="G48" s="7" t="inlineStr"/>
      <c r="H48" s="7" t="inlineStr"/>
      <c r="I48" s="7" t="inlineStr"/>
      <c r="J48" s="7" t="inlineStr"/>
    </row>
    <row r="49">
      <c r="A49" s="7" t="n">
        <v>48</v>
      </c>
      <c r="B49" s="7" t="inlineStr">
        <is>
          <t>A11. Nghiệm thu và thu tiền</t>
        </is>
      </c>
      <c r="C49" s="7" t="inlineStr">
        <is>
          <t>Chỉ huy trưởng; Kế toán</t>
        </is>
      </c>
      <c r="D49" s="7" t="inlineStr">
        <is>
          <t>Tab Nghiệm thu → Lập biên bản «với chủ đầu tư», giá trị &gt; 0, chấm danh mục có ảnh</t>
        </is>
      </c>
      <c r="E49" s="7" t="inlineStr">
        <is>
          <t>Biên bản lưu; không lập được nếu giá trị = 0</t>
        </is>
      </c>
      <c r="F49" s="7" t="inlineStr">
        <is>
          <t>Chưa làm</t>
        </is>
      </c>
      <c r="G49" s="7" t="inlineStr"/>
      <c r="H49" s="7" t="inlineStr"/>
      <c r="I49" s="7" t="inlineStr"/>
      <c r="J49" s="7" t="inlineStr"/>
    </row>
    <row r="50">
      <c r="A50" s="7" t="n">
        <v>49</v>
      </c>
      <c r="B50" s="7" t="inlineStr">
        <is>
          <t>A11. Nghiệm thu và thu tiền</t>
        </is>
      </c>
      <c r="C50" s="7" t="inlineStr">
        <is>
          <t>Chỉ huy trưởng; Kế toán</t>
        </is>
      </c>
      <c r="D50" s="7" t="inlineStr">
        <is>
          <t>Sau khi ký, thử sửa biên bản</t>
        </is>
      </c>
      <c r="E50" s="7" t="inlineStr">
        <is>
          <t>Không sửa được</t>
        </is>
      </c>
      <c r="F50" s="7" t="inlineStr">
        <is>
          <t>Chưa làm</t>
        </is>
      </c>
      <c r="G50" s="7" t="inlineStr"/>
      <c r="H50" s="7" t="inlineStr"/>
      <c r="I50" s="7" t="inlineStr"/>
      <c r="J50" s="7" t="inlineStr"/>
    </row>
    <row r="51">
      <c r="A51" s="7" t="n">
        <v>50</v>
      </c>
      <c r="B51" s="7" t="inlineStr">
        <is>
          <t>A11. Nghiệm thu và thu tiền</t>
        </is>
      </c>
      <c r="C51" s="7" t="inlineStr">
        <is>
          <t>Chỉ huy trưởng; Kế toán</t>
        </is>
      </c>
      <c r="D51" s="7" t="inlineStr">
        <is>
          <t>Kế toán: Công nợ → Lập khoản phải thu</t>
        </is>
      </c>
      <c r="E51" s="7" t="inlineStr">
        <is>
          <t>Số tiền khớp biên bản</t>
        </is>
      </c>
      <c r="F51" s="7" t="inlineStr">
        <is>
          <t>Chưa làm</t>
        </is>
      </c>
      <c r="G51" s="7" t="inlineStr"/>
      <c r="H51" s="7" t="inlineStr"/>
      <c r="I51" s="7" t="inlineStr"/>
      <c r="J51" s="7" t="inlineStr"/>
    </row>
    <row r="52">
      <c r="A52" s="7" t="n">
        <v>51</v>
      </c>
      <c r="B52" s="7" t="inlineStr">
        <is>
          <t>A11. Nghiệm thu và thu tiền</t>
        </is>
      </c>
      <c r="C52" s="7" t="inlineStr">
        <is>
          <t>Chỉ huy trưởng; Kế toán</t>
        </is>
      </c>
      <c r="D52" s="7" t="inlineStr">
        <is>
          <t>Ghi nhận thu</t>
        </is>
      </c>
      <c r="E52" s="7" t="inlineStr">
        <is>
          <t>«Đã thu» trên hợp đồng tăng; «còn phải thu» giảm đúng</t>
        </is>
      </c>
      <c r="F52" s="7" t="inlineStr">
        <is>
          <t>Chưa làm</t>
        </is>
      </c>
      <c r="G52" s="7" t="inlineStr"/>
      <c r="H52" s="7" t="inlineStr"/>
      <c r="I52" s="7" t="inlineStr"/>
      <c r="J52" s="7" t="inlineStr"/>
    </row>
    <row r="53">
      <c r="A53" s="7" t="n">
        <v>52</v>
      </c>
      <c r="B53" s="7" t="inlineStr">
        <is>
          <t>A12. Theo dõi, phát sinh, kết thúc</t>
        </is>
      </c>
      <c r="C53" s="7" t="inlineStr">
        <is>
          <t>Ban Giám đốc; Thi công; Dự án – Đấu thầu; Kế toán</t>
        </is>
      </c>
      <c r="D53" s="7" t="inlineStr">
        <is>
          <t>Báo cáo → Lãi/lỗ</t>
        </is>
      </c>
      <c r="E53" s="7" t="inlineStr">
        <is>
          <t>Lãi/lỗ = đã nghiệm thu − đã phát sinh; chỉ số thiếu dữ liệu hiện «Chưa đủ dữ liệu», không hiện 0</t>
        </is>
      </c>
      <c r="F53" s="7" t="inlineStr">
        <is>
          <t>Chưa làm</t>
        </is>
      </c>
      <c r="G53" s="7" t="inlineStr"/>
      <c r="H53" s="7" t="inlineStr"/>
      <c r="I53" s="7" t="inlineStr"/>
      <c r="J53" s="7" t="inlineStr"/>
    </row>
    <row r="54">
      <c r="A54" s="7" t="n">
        <v>53</v>
      </c>
      <c r="B54" s="7" t="inlineStr">
        <is>
          <t>A12. Theo dõi, phát sinh, kết thúc</t>
        </is>
      </c>
      <c r="C54" s="7" t="inlineStr">
        <is>
          <t>Ban Giám đốc; Thi công; Dự án – Đấu thầu; Kế toán</t>
        </is>
      </c>
      <c r="D54" s="7" t="inlineStr">
        <is>
          <t>Hợp đồng → Phát sinh: đề xuất → Gửi phê duyệt (thử &gt; 50 triệu)</t>
        </is>
      </c>
      <c r="E54" s="7" t="inlineStr">
        <is>
          <t>Lên Tổng Giám đốc; giá trị hợp đồng hiện hành cập nhật sau khi duyệt</t>
        </is>
      </c>
      <c r="F54" s="7" t="inlineStr">
        <is>
          <t>Chưa làm</t>
        </is>
      </c>
      <c r="G54" s="7" t="inlineStr"/>
      <c r="H54" s="7" t="inlineStr"/>
      <c r="I54" s="7" t="inlineStr"/>
      <c r="J54" s="7" t="inlineStr"/>
    </row>
    <row r="55">
      <c r="A55" s="7" t="n">
        <v>54</v>
      </c>
      <c r="B55" s="7" t="inlineStr">
        <is>
          <t>A12. Theo dõi, phát sinh, kết thúc</t>
        </is>
      </c>
      <c r="C55" s="7" t="inlineStr">
        <is>
          <t>Ban Giám đốc; Thi công; Dự án – Đấu thầu; Kế toán</t>
        </is>
      </c>
      <c r="D55" s="7" t="inlineStr">
        <is>
          <t>Chuyển sang nghiệm thu bàn giao → Bàn giao chủ đầu tư</t>
        </is>
      </c>
      <c r="E55" s="7" t="inlineStr">
        <is>
          <t>Chỉ được khi có biên bản chủ đầu tư đã nghiệm thu</t>
        </is>
      </c>
      <c r="F55" s="7" t="inlineStr">
        <is>
          <t>Chưa làm</t>
        </is>
      </c>
      <c r="G55" s="7" t="inlineStr"/>
      <c r="H55" s="7" t="inlineStr"/>
      <c r="I55" s="7" t="inlineStr"/>
      <c r="J55" s="7" t="inlineStr"/>
    </row>
    <row r="56">
      <c r="A56" s="7" t="n">
        <v>55</v>
      </c>
      <c r="B56" s="7" t="inlineStr">
        <is>
          <t>A12. Theo dõi, phát sinh, kết thúc</t>
        </is>
      </c>
      <c r="C56" s="7" t="inlineStr">
        <is>
          <t>Ban Giám đốc; Thi công; Dự án – Đấu thầu; Kế toán</t>
        </is>
      </c>
      <c r="D56" s="7" t="inlineStr">
        <is>
          <t>Bảo hành → Kết thúc; Hợp đồng → Quyết toán</t>
        </is>
      </c>
      <c r="E56" s="7" t="inlineStr">
        <is>
          <t>Công trình chỉ còn xem</t>
        </is>
      </c>
      <c r="F56" s="7" t="inlineStr">
        <is>
          <t>Chưa làm</t>
        </is>
      </c>
      <c r="G56" s="7" t="inlineStr"/>
      <c r="H56" s="7" t="inlineStr"/>
      <c r="I56" s="7" t="inlineStr"/>
      <c r="J56" s="7" t="inlineStr"/>
    </row>
    <row r="57">
      <c r="A57" s="7" t="n">
        <v>56</v>
      </c>
      <c r="B57" s="7" t="inlineStr">
        <is>
          <t>A12. Theo dõi, phát sinh, kết thúc</t>
        </is>
      </c>
      <c r="C57" s="7" t="inlineStr">
        <is>
          <t>Ban Giám đốc; Thi công; Dự án – Đấu thầu; Kế toán</t>
        </is>
      </c>
      <c r="D57" s="7" t="inlineStr">
        <is>
          <t>Kế toán khóa kỳ; thử sửa chứng từ kỳ đã khóa</t>
        </is>
      </c>
      <c r="E57" s="7" t="inlineStr">
        <is>
          <t>Không sửa trực tiếp; phải qua chứng từ điều chỉnh có người duyệt</t>
        </is>
      </c>
      <c r="F57" s="7" t="inlineStr">
        <is>
          <t>Chưa làm</t>
        </is>
      </c>
      <c r="G57" s="7" t="inlineStr"/>
      <c r="H57" s="7" t="inlineStr"/>
      <c r="I57" s="7" t="inlineStr"/>
      <c r="J57" s="7" t="inlineStr"/>
    </row>
  </sheetData>
  <autoFilter ref="A1:J57"/>
  <conditionalFormatting sqref="F2:F57">
    <cfRule type="cellIs" priority="1" operator="equal" dxfId="0">
      <formula>"Đạt"</formula>
    </cfRule>
    <cfRule type="cellIs" priority="2" operator="equal" dxfId="1">
      <formula>"Lỗi"</formula>
    </cfRule>
    <cfRule type="cellIs" priority="3" operator="equal" dxfId="2">
      <formula>"Không làm được"</formula>
    </cfRule>
  </conditionalFormatting>
  <dataValidations count="1">
    <dataValidation sqref="F2:F57" showDropDown="0" showInputMessage="0" showErrorMessage="0" allowBlank="0" type="list">
      <formula1>"Chưa làm,Đạt,Lỗi,Không làm được"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30" customWidth="1" min="2" max="2"/>
    <col width="28" customWidth="1" min="3" max="3"/>
    <col width="55" customWidth="1" min="4" max="4"/>
    <col width="55" customWidth="1" min="5" max="5"/>
    <col width="16" customWidth="1" min="6" max="6"/>
    <col width="45" customWidth="1" min="7" max="7"/>
    <col width="14" customWidth="1" min="8" max="8"/>
    <col width="12" customWidth="1" min="9" max="9"/>
    <col width="25" customWidth="1" min="10" max="10"/>
  </cols>
  <sheetData>
    <row r="1" ht="30" customHeight="1">
      <c r="A1" s="6" t="inlineStr">
        <is>
          <t>STT</t>
        </is>
      </c>
      <c r="B1" s="6" t="inlineStr">
        <is>
          <t>Nhóm</t>
        </is>
      </c>
      <c r="C1" s="6" t="inlineStr">
        <is>
          <t>Đăng nhập bằng</t>
        </is>
      </c>
      <c r="D1" s="6" t="inlineStr">
        <is>
          <t>Bước làm</t>
        </is>
      </c>
      <c r="E1" s="6" t="inlineStr">
        <is>
          <t>Kết quả đúng phải thấy</t>
        </is>
      </c>
      <c r="F1" s="6" t="inlineStr">
        <is>
          <t>Kết quả</t>
        </is>
      </c>
      <c r="G1" s="6" t="inlineStr">
        <is>
          <t>Ghi chú / mô tả lỗi</t>
        </is>
      </c>
      <c r="H1" s="6" t="inlineStr">
        <is>
          <t>Người test</t>
        </is>
      </c>
      <c r="I1" s="6" t="inlineStr">
        <is>
          <t>Ngày test</t>
        </is>
      </c>
      <c r="J1" s="6" t="inlineStr">
        <is>
          <t>Link ảnh chụp</t>
        </is>
      </c>
    </row>
    <row r="2">
      <c r="A2" s="7" t="n">
        <v>1</v>
      </c>
      <c r="B2" s="7" t="inlineStr">
        <is>
          <t>B1. Khách hàng, cơ hội</t>
        </is>
      </c>
      <c r="C2" s="7" t="inlineStr">
        <is>
          <t>Kinh doanh (NVO)</t>
        </is>
      </c>
      <c r="D2" s="7" t="inlineStr">
        <is>
          <t>Chọn công ty NVO; tạo khách và cơ hội</t>
        </is>
      </c>
      <c r="E2" s="7" t="inlineStr">
        <is>
          <t>Khách dùng chung được thấy ở NVO; cơ hội nằm ở NVO</t>
        </is>
      </c>
      <c r="F2" s="7" t="inlineStr">
        <is>
          <t>Chưa làm</t>
        </is>
      </c>
      <c r="G2" s="7" t="inlineStr"/>
      <c r="H2" s="7" t="inlineStr"/>
      <c r="I2" s="7" t="inlineStr"/>
      <c r="J2" s="7" t="inlineStr"/>
    </row>
    <row r="3">
      <c r="A3" s="7" t="n">
        <v>2</v>
      </c>
      <c r="B3" s="7" t="inlineStr">
        <is>
          <t>B1. Khách hàng, cơ hội</t>
        </is>
      </c>
      <c r="C3" s="7" t="inlineStr">
        <is>
          <t>Kinh doanh (NVO)</t>
        </is>
      </c>
      <c r="D3" s="7" t="inlineStr">
        <is>
          <t>Ghi khảo sát nhu cầu sơ bộ</t>
        </is>
      </c>
      <c r="E3" s="7" t="inlineStr">
        <is>
          <t>Lưu được</t>
        </is>
      </c>
      <c r="F3" s="7" t="inlineStr">
        <is>
          <t>Chưa làm</t>
        </is>
      </c>
      <c r="G3" s="7" t="inlineStr"/>
      <c r="H3" s="7" t="inlineStr"/>
      <c r="I3" s="7" t="inlineStr"/>
      <c r="J3" s="7" t="inlineStr"/>
    </row>
    <row r="4">
      <c r="A4" s="7" t="n">
        <v>3</v>
      </c>
      <c r="B4" s="7" t="inlineStr">
        <is>
          <t>B2. Lập hồ sơ thiết kế</t>
        </is>
      </c>
      <c r="C4" s="7" t="inlineStr">
        <is>
          <t>Kiến trúc sư</t>
        </is>
      </c>
      <c r="D4" s="7" t="inlineStr">
        <is>
          <t>Thiết kế → tạo hồ sơ từ cơ hội</t>
        </is>
      </c>
      <c r="E4" s="7" t="inlineStr">
        <is>
          <t>Hồ sơ có mã; khách, cơ hội liên kết; không phải gõ lại</t>
        </is>
      </c>
      <c r="F4" s="7" t="inlineStr">
        <is>
          <t>Chưa làm</t>
        </is>
      </c>
      <c r="G4" s="7" t="inlineStr"/>
      <c r="H4" s="7" t="inlineStr"/>
      <c r="I4" s="7" t="inlineStr"/>
      <c r="J4" s="7" t="inlineStr"/>
    </row>
    <row r="5">
      <c r="A5" s="7" t="n">
        <v>4</v>
      </c>
      <c r="B5" s="7" t="inlineStr">
        <is>
          <t>B2. Lập hồ sơ thiết kế</t>
        </is>
      </c>
      <c r="C5" s="7" t="inlineStr">
        <is>
          <t>Kiến trúc sư</t>
        </is>
      </c>
      <c r="D5" s="7" t="inlineStr">
        <is>
          <t>Mở Tổng quan</t>
        </is>
      </c>
      <c r="E5" s="7" t="inlineStr">
        <is>
          <t>Hiện sáu bước, người chịu trách nhiệm, hạn bàn giao</t>
        </is>
      </c>
      <c r="F5" s="7" t="inlineStr">
        <is>
          <t>Chưa làm</t>
        </is>
      </c>
      <c r="G5" s="7" t="inlineStr"/>
      <c r="H5" s="7" t="inlineStr"/>
      <c r="I5" s="7" t="inlineStr"/>
      <c r="J5" s="7" t="inlineStr"/>
    </row>
    <row r="6">
      <c r="A6" s="7" t="n">
        <v>5</v>
      </c>
      <c r="B6" s="7" t="inlineStr">
        <is>
          <t>B2. Lập hồ sơ thiết kế</t>
        </is>
      </c>
      <c r="C6" s="7" t="inlineStr">
        <is>
          <t>Kiến trúc sư</t>
        </is>
      </c>
      <c r="D6" s="7" t="inlineStr">
        <is>
          <t>Cột «Hồ sơ liên quan»</t>
        </is>
      </c>
      <c r="E6" s="7" t="inlineStr">
        <is>
          <t>Thấy khách, cơ hội gốc; thấy thẻ AI Design</t>
        </is>
      </c>
      <c r="F6" s="7" t="inlineStr">
        <is>
          <t>Chưa làm</t>
        </is>
      </c>
      <c r="G6" s="7" t="inlineStr"/>
      <c r="H6" s="7" t="inlineStr"/>
      <c r="I6" s="7" t="inlineStr"/>
      <c r="J6" s="7" t="inlineStr"/>
    </row>
    <row r="7">
      <c r="A7" s="7" t="n">
        <v>6</v>
      </c>
      <c r="B7" s="7" t="inlineStr">
        <is>
          <t>B3. Đầu bài và khảo sát hiện trạng</t>
        </is>
      </c>
      <c r="C7" s="7" t="inlineStr">
        <is>
          <t>Kiến trúc sư</t>
        </is>
      </c>
      <c r="D7" s="7" t="inlineStr">
        <is>
          <t>Điền đầu bài từng mục; lưu dở rồi thoát ra, mở lại</t>
        </is>
      </c>
      <c r="E7" s="7" t="inlineStr">
        <is>
          <t>Dữ liệu không mất; có thể đóng giữa chừng</t>
        </is>
      </c>
      <c r="F7" s="7" t="inlineStr">
        <is>
          <t>Chưa làm</t>
        </is>
      </c>
      <c r="G7" s="7" t="inlineStr"/>
      <c r="H7" s="7" t="inlineStr"/>
      <c r="I7" s="7" t="inlineStr"/>
      <c r="J7" s="7" t="inlineStr"/>
    </row>
    <row r="8">
      <c r="A8" s="7" t="n">
        <v>7</v>
      </c>
      <c r="B8" s="7" t="inlineStr">
        <is>
          <t>B3. Đầu bài và khảo sát hiện trạng</t>
        </is>
      </c>
      <c r="C8" s="7" t="inlineStr">
        <is>
          <t>Kiến trúc sư</t>
        </is>
      </c>
      <c r="D8" s="7" t="inlineStr">
        <is>
          <t>Xem «Mức độ đầy đủ» khi chưa điền hết</t>
        </is>
      </c>
      <c r="E8" s="7" t="inlineStr">
        <is>
          <t>Hiển thị % và danh sách còn thiếu</t>
        </is>
      </c>
      <c r="F8" s="7" t="inlineStr">
        <is>
          <t>Chưa làm</t>
        </is>
      </c>
      <c r="G8" s="7" t="inlineStr"/>
      <c r="H8" s="7" t="inlineStr"/>
      <c r="I8" s="7" t="inlineStr"/>
      <c r="J8" s="7" t="inlineStr"/>
    </row>
    <row r="9">
      <c r="A9" s="7" t="n">
        <v>8</v>
      </c>
      <c r="B9" s="7" t="inlineStr">
        <is>
          <t>B3. Đầu bài và khảo sát hiện trạng</t>
        </is>
      </c>
      <c r="C9" s="7" t="inlineStr">
        <is>
          <t>Kiến trúc sư</t>
        </is>
      </c>
      <c r="D9" s="7" t="inlineStr">
        <is>
          <t>Thử dựng phương án khi dưới 70%</t>
        </is>
      </c>
      <c r="E9" s="7" t="inlineStr">
        <is>
          <t>Bị chặn kèm lý do rõ</t>
        </is>
      </c>
      <c r="F9" s="7" t="inlineStr">
        <is>
          <t>Chưa làm</t>
        </is>
      </c>
      <c r="G9" s="7" t="inlineStr"/>
      <c r="H9" s="7" t="inlineStr"/>
      <c r="I9" s="7" t="inlineStr"/>
      <c r="J9" s="7" t="inlineStr"/>
    </row>
    <row r="10">
      <c r="A10" s="7" t="n">
        <v>9</v>
      </c>
      <c r="B10" s="7" t="inlineStr">
        <is>
          <t>B3. Đầu bài và khảo sát hiện trạng</t>
        </is>
      </c>
      <c r="C10" s="7" t="inlineStr">
        <is>
          <t>Kiến trúc sư</t>
        </is>
      </c>
      <c r="D10" s="7" t="inlineStr">
        <is>
          <t>Đạt 70% trở lên → Xác nhận đầu bài</t>
        </is>
      </c>
      <c r="E10" s="7" t="inlineStr">
        <is>
          <t>Đầu bài khoá; thử sửa: phải tạo phiên bản mới</t>
        </is>
      </c>
      <c r="F10" s="7" t="inlineStr">
        <is>
          <t>Chưa làm</t>
        </is>
      </c>
      <c r="G10" s="7" t="inlineStr"/>
      <c r="H10" s="7" t="inlineStr"/>
      <c r="I10" s="7" t="inlineStr"/>
      <c r="J10" s="7" t="inlineStr"/>
    </row>
    <row r="11">
      <c r="A11" s="7" t="n">
        <v>10</v>
      </c>
      <c r="B11" s="7" t="inlineStr">
        <is>
          <t>B3. Đầu bài và khảo sát hiện trạng</t>
        </is>
      </c>
      <c r="C11" s="7" t="inlineStr">
        <is>
          <t>Kiến trúc sư</t>
        </is>
      </c>
      <c r="D11" s="7" t="inlineStr">
        <is>
          <t>Khảo sát hiện trạng: ghi số đo, gắn ảnh</t>
        </is>
      </c>
      <c r="E11" s="7" t="inlineStr">
        <is>
          <t>Lưu được; đánh dấu hoàn thành</t>
        </is>
      </c>
      <c r="F11" s="7" t="inlineStr">
        <is>
          <t>Chưa làm</t>
        </is>
      </c>
      <c r="G11" s="7" t="inlineStr"/>
      <c r="H11" s="7" t="inlineStr"/>
      <c r="I11" s="7" t="inlineStr"/>
      <c r="J11" s="7" t="inlineStr"/>
    </row>
    <row r="12">
      <c r="A12" s="7" t="n">
        <v>11</v>
      </c>
      <c r="B12" s="7" t="inlineStr">
        <is>
          <t>B4. Phương án và trình khách</t>
        </is>
      </c>
      <c r="C12" s="7" t="inlineStr">
        <is>
          <t>Kiến trúc sư</t>
        </is>
      </c>
      <c r="D12" s="7" t="inlineStr">
        <is>
          <t>Phiên bản bản vẽ: tạo và phát hành phương án</t>
        </is>
      </c>
      <c r="E12" s="7" t="inlineStr">
        <is>
          <t>Có số phiên bản; bản đã phát hành không sửa đè</t>
        </is>
      </c>
      <c r="F12" s="7" t="inlineStr">
        <is>
          <t>Chưa làm</t>
        </is>
      </c>
      <c r="G12" s="7" t="inlineStr"/>
      <c r="H12" s="7" t="inlineStr"/>
      <c r="I12" s="7" t="inlineStr"/>
      <c r="J12" s="7" t="inlineStr"/>
    </row>
    <row r="13">
      <c r="A13" s="7" t="n">
        <v>12</v>
      </c>
      <c r="B13" s="7" t="inlineStr">
        <is>
          <t>B4. Phương án và trình khách</t>
        </is>
      </c>
      <c r="C13" s="7" t="inlineStr">
        <is>
          <t>Kiến trúc sư</t>
        </is>
      </c>
      <c r="D13" s="7" t="inlineStr">
        <is>
          <t>Gửi khách duyệt → Ghi nhận góp ý (một phiên bản) → làm phiên bản mới</t>
        </is>
      </c>
      <c r="E13" s="7" t="inlineStr">
        <is>
          <t>Góp ý gắn đúng phiên bản</t>
        </is>
      </c>
      <c r="F13" s="7" t="inlineStr">
        <is>
          <t>Chưa làm</t>
        </is>
      </c>
      <c r="G13" s="7" t="inlineStr"/>
      <c r="H13" s="7" t="inlineStr"/>
      <c r="I13" s="7" t="inlineStr"/>
      <c r="J13" s="7" t="inlineStr"/>
    </row>
    <row r="14">
      <c r="A14" s="7" t="n">
        <v>13</v>
      </c>
      <c r="B14" s="7" t="inlineStr">
        <is>
          <t>B4. Phương án và trình khách</t>
        </is>
      </c>
      <c r="C14" s="7" t="inlineStr">
        <is>
          <t>Kiến trúc sư</t>
        </is>
      </c>
      <c r="D14" s="7" t="inlineStr">
        <is>
          <t>Ghi nhận khách duyệt</t>
        </is>
      </c>
      <c r="E14" s="7" t="inlineStr">
        <is>
          <t>Hồ sơ tự chuyển sang Hồ sơ kỹ thuật</t>
        </is>
      </c>
      <c r="F14" s="7" t="inlineStr">
        <is>
          <t>Chưa làm</t>
        </is>
      </c>
      <c r="G14" s="7" t="inlineStr"/>
      <c r="H14" s="7" t="inlineStr"/>
      <c r="I14" s="7" t="inlineStr"/>
      <c r="J14" s="7" t="inlineStr"/>
    </row>
    <row r="15">
      <c r="A15" s="7" t="n">
        <v>14</v>
      </c>
      <c r="B15" s="7" t="inlineStr">
        <is>
          <t>B5. Hồ sơ kỹ thuật ba bộ môn</t>
        </is>
      </c>
      <c r="C15" s="7" t="inlineStr">
        <is>
          <t>Kiến trúc sư; Kỹ sư kết cấu; Kỹ sư điện nước</t>
        </is>
      </c>
      <c r="D15" s="7" t="inlineStr">
        <is>
          <t>Mỗi bộ môn có người phụ trách, hạn, tiến độ</t>
        </is>
      </c>
      <c r="E15" s="7" t="inlineStr">
        <is>
          <t>Ba hàng kiến trúc, kết cấu, điện nước đủ</t>
        </is>
      </c>
      <c r="F15" s="7" t="inlineStr">
        <is>
          <t>Chưa làm</t>
        </is>
      </c>
      <c r="G15" s="7" t="inlineStr"/>
      <c r="H15" s="7" t="inlineStr"/>
      <c r="I15" s="7" t="inlineStr"/>
      <c r="J15" s="7" t="inlineStr"/>
    </row>
    <row r="16">
      <c r="A16" s="7" t="n">
        <v>15</v>
      </c>
      <c r="B16" s="7" t="inlineStr">
        <is>
          <t>B5. Hồ sơ kỹ thuật ba bộ môn</t>
        </is>
      </c>
      <c r="C16" s="7" t="inlineStr">
        <is>
          <t>Kiến trúc sư; Kỹ sư kết cấu; Kỹ sư điện nước</t>
        </is>
      </c>
      <c r="D16" s="7" t="inlineStr">
        <is>
          <t>Từng kỹ sư đánh dấu Hoàn thành phần mình</t>
        </is>
      </c>
      <c r="E16" s="7" t="inlineStr">
        <is>
          <t>Tiến độ cập nhật</t>
        </is>
      </c>
      <c r="F16" s="7" t="inlineStr">
        <is>
          <t>Chưa làm</t>
        </is>
      </c>
      <c r="G16" s="7" t="inlineStr"/>
      <c r="H16" s="7" t="inlineStr"/>
      <c r="I16" s="7" t="inlineStr"/>
      <c r="J16" s="7" t="inlineStr"/>
    </row>
    <row r="17">
      <c r="A17" s="7" t="n">
        <v>16</v>
      </c>
      <c r="B17" s="7" t="inlineStr">
        <is>
          <t>B5. Hồ sơ kỹ thuật ba bộ môn</t>
        </is>
      </c>
      <c r="C17" s="7" t="inlineStr">
        <is>
          <t>Kiến trúc sư; Kỹ sư kết cấu; Kỹ sư điện nước</t>
        </is>
      </c>
      <c r="D17" s="7" t="inlineStr">
        <is>
          <t>Kiểm tra đồng bộ giữa các bộ môn; ghi một xung đột</t>
        </is>
      </c>
      <c r="E17" s="7" t="inlineStr">
        <is>
          <t>Xung đột lưu và hiện lên</t>
        </is>
      </c>
      <c r="F17" s="7" t="inlineStr">
        <is>
          <t>Chưa làm</t>
        </is>
      </c>
      <c r="G17" s="7" t="inlineStr"/>
      <c r="H17" s="7" t="inlineStr"/>
      <c r="I17" s="7" t="inlineStr"/>
      <c r="J17" s="7" t="inlineStr"/>
    </row>
    <row r="18">
      <c r="A18" s="7" t="n">
        <v>17</v>
      </c>
      <c r="B18" s="7" t="inlineStr">
        <is>
          <t>B5. Hồ sơ kỹ thuật ba bộ môn</t>
        </is>
      </c>
      <c r="C18" s="7" t="inlineStr">
        <is>
          <t>Kiến trúc sư; Kỹ sư kết cấu; Kỹ sư điện nước</t>
        </is>
      </c>
      <c r="D18" s="7" t="inlineStr">
        <is>
          <t>Phát hành hồ sơ một bộ môn</t>
        </is>
      </c>
      <c r="E18" s="7" t="inlineStr">
        <is>
          <t>Mỗi lần chỉ phát hành một bộ môn</t>
        </is>
      </c>
      <c r="F18" s="7" t="inlineStr">
        <is>
          <t>Chưa làm</t>
        </is>
      </c>
      <c r="G18" s="7" t="inlineStr"/>
      <c r="H18" s="7" t="inlineStr"/>
      <c r="I18" s="7" t="inlineStr"/>
      <c r="J18" s="7" t="inlineStr"/>
    </row>
    <row r="19">
      <c r="A19" s="7" t="n">
        <v>18</v>
      </c>
      <c r="B19" s="7" t="inlineStr">
        <is>
          <t>B5. Hồ sơ kỹ thuật ba bộ môn</t>
        </is>
      </c>
      <c r="C19" s="7" t="inlineStr">
        <is>
          <t>Kiến trúc sư; Kỹ sư kết cấu; Kỹ sư điện nước</t>
        </is>
      </c>
      <c r="D19" s="7" t="inlineStr">
        <is>
          <t>Không có chỗ nào máy tự quyết kết cấu, điện nước, PCCC</t>
        </is>
      </c>
      <c r="E19" s="7" t="inlineStr">
        <is>
          <t>Chỉ ghi tiến độ và nhắc; kỹ sư ký</t>
        </is>
      </c>
      <c r="F19" s="7" t="inlineStr">
        <is>
          <t>Chưa làm</t>
        </is>
      </c>
      <c r="G19" s="7" t="inlineStr"/>
      <c r="H19" s="7" t="inlineStr"/>
      <c r="I19" s="7" t="inlineStr"/>
      <c r="J19" s="7" t="inlineStr"/>
    </row>
    <row r="20">
      <c r="A20" s="7" t="n">
        <v>19</v>
      </c>
      <c r="B20" s="7" t="inlineStr">
        <is>
          <t>B6. Dự toán và hợp đồng</t>
        </is>
      </c>
      <c r="C20" s="7" t="inlineStr">
        <is>
          <t>Dự toán; Dự án – Đấu thầu; Kinh doanh; Tổng Giám đốc</t>
        </is>
      </c>
      <c r="D20" s="7" t="inlineStr">
        <is>
          <t>Lập dự toán, Gửi phê duyệt, duyệt</t>
        </is>
      </c>
      <c r="E20" s="7" t="inlineStr">
        <is>
          <t>Giá dự toán hiện; duyệt theo hạn mức</t>
        </is>
      </c>
      <c r="F20" s="7" t="inlineStr">
        <is>
          <t>Chưa làm</t>
        </is>
      </c>
      <c r="G20" s="7" t="inlineStr"/>
      <c r="H20" s="7" t="inlineStr"/>
      <c r="I20" s="7" t="inlineStr"/>
      <c r="J20" s="7" t="inlineStr"/>
    </row>
    <row r="21">
      <c r="A21" s="7" t="n">
        <v>20</v>
      </c>
      <c r="B21" s="7" t="inlineStr">
        <is>
          <t>B6. Dự toán và hợp đồng</t>
        </is>
      </c>
      <c r="C21" s="7" t="inlineStr">
        <is>
          <t>Dự toán; Dự án – Đấu thầu; Kinh doanh; Tổng Giám đốc</t>
        </is>
      </c>
      <c r="D21" s="7" t="inlineStr">
        <is>
          <t>Soạn hợp đồng thiết kế – thi công</t>
        </is>
      </c>
      <c r="E21" s="7" t="inlineStr">
        <is>
          <t>Khách và giá tự điền</t>
        </is>
      </c>
      <c r="F21" s="7" t="inlineStr">
        <is>
          <t>Chưa làm</t>
        </is>
      </c>
      <c r="G21" s="7" t="inlineStr"/>
      <c r="H21" s="7" t="inlineStr"/>
      <c r="I21" s="7" t="inlineStr"/>
      <c r="J21" s="7" t="inlineStr"/>
    </row>
    <row r="22">
      <c r="A22" s="7" t="n">
        <v>21</v>
      </c>
      <c r="B22" s="7" t="inlineStr">
        <is>
          <t>B6. Dự toán và hợp đồng</t>
        </is>
      </c>
      <c r="C22" s="7" t="inlineStr">
        <is>
          <t>Dự toán; Dự án – Đấu thầu; Kinh doanh; Tổng Giám đốc</t>
        </is>
      </c>
      <c r="D22" s="7" t="inlineStr">
        <is>
          <t>Gửi phê duyệt, Ghi nhận đã ký</t>
        </is>
      </c>
      <c r="E22" s="7" t="inlineStr">
        <is>
          <t>Hợp đồng đang hiệu lực</t>
        </is>
      </c>
      <c r="F22" s="7" t="inlineStr">
        <is>
          <t>Chưa làm</t>
        </is>
      </c>
      <c r="G22" s="7" t="inlineStr"/>
      <c r="H22" s="7" t="inlineStr"/>
      <c r="I22" s="7" t="inlineStr"/>
      <c r="J22" s="7" t="inlineStr"/>
    </row>
    <row r="23">
      <c r="A23" s="7" t="n">
        <v>22</v>
      </c>
      <c r="B23" s="7" t="inlineStr">
        <is>
          <t>B7. Bàn giao thi công</t>
        </is>
      </c>
      <c r="C23" s="7" t="inlineStr">
        <is>
          <t>Kiến trúc sư; Trưởng phòng Thi công</t>
        </is>
      </c>
      <c r="D23" s="7" t="inlineStr">
        <is>
          <t>Mở bước Bàn giao khi còn thiếu hạng mục (ví dụ chưa duyệt dự toán)</t>
        </is>
      </c>
      <c r="E23" s="7" t="inlineStr">
        <is>
          <t>Nút Bàn giao không bấm được; có danh sách hạng mục còn thiếu</t>
        </is>
      </c>
      <c r="F23" s="7" t="inlineStr">
        <is>
          <t>Chưa làm</t>
        </is>
      </c>
      <c r="G23" s="7" t="inlineStr"/>
      <c r="H23" s="7" t="inlineStr"/>
      <c r="I23" s="7" t="inlineStr"/>
      <c r="J23" s="7" t="inlineStr"/>
    </row>
    <row r="24">
      <c r="A24" s="7" t="n">
        <v>23</v>
      </c>
      <c r="B24" s="7" t="inlineStr">
        <is>
          <t>B7. Bàn giao thi công</t>
        </is>
      </c>
      <c r="C24" s="7" t="inlineStr">
        <is>
          <t>Kiến trúc sư; Trưởng phòng Thi công</t>
        </is>
      </c>
      <c r="D24" s="7" t="inlineStr">
        <is>
          <t>Hoàn thành hạng mục còn thiếu</t>
        </is>
      </c>
      <c r="E24" s="7" t="inlineStr">
        <is>
          <t>Hạng mục tự hết chặn</t>
        </is>
      </c>
      <c r="F24" s="7" t="inlineStr">
        <is>
          <t>Chưa làm</t>
        </is>
      </c>
      <c r="G24" s="7" t="inlineStr"/>
      <c r="H24" s="7" t="inlineStr"/>
      <c r="I24" s="7" t="inlineStr"/>
      <c r="J24" s="7" t="inlineStr"/>
    </row>
    <row r="25">
      <c r="A25" s="7" t="n">
        <v>24</v>
      </c>
      <c r="B25" s="7" t="inlineStr">
        <is>
          <t>B7. Bàn giao thi công</t>
        </is>
      </c>
      <c r="C25" s="7" t="inlineStr">
        <is>
          <t>Kiến trúc sư; Trưởng phòng Thi công</t>
        </is>
      </c>
      <c r="D25" s="7" t="inlineStr">
        <is>
          <t>Bấm Bàn giao thi công</t>
        </is>
      </c>
      <c r="E25" s="7" t="inlineStr">
        <is>
          <t>Công trình mở; Thi công, Mua hàng, Kế toán nhận thông báo</t>
        </is>
      </c>
      <c r="F25" s="7" t="inlineStr">
        <is>
          <t>Chưa làm</t>
        </is>
      </c>
      <c r="G25" s="7" t="inlineStr"/>
      <c r="H25" s="7" t="inlineStr"/>
      <c r="I25" s="7" t="inlineStr"/>
      <c r="J25" s="7" t="inlineStr"/>
    </row>
    <row r="26">
      <c r="A26" s="7" t="n">
        <v>25</v>
      </c>
      <c r="B26" s="7" t="inlineStr">
        <is>
          <t>B8. Sau bàn giao</t>
        </is>
      </c>
      <c r="C26" s="7" t="inlineStr">
        <is>
          <t>Công trường; Phòng Thiết kế</t>
        </is>
      </c>
      <c r="D26" s="7" t="inlineStr">
        <is>
          <t>Gửi Yêu cầu làm rõ; Thiết kế trả lời</t>
        </is>
      </c>
      <c r="E26" s="7" t="inlineStr">
        <is>
          <t>Lưu lại ai hỏi, ai trả lời</t>
        </is>
      </c>
      <c r="F26" s="7" t="inlineStr">
        <is>
          <t>Chưa làm</t>
        </is>
      </c>
      <c r="G26" s="7" t="inlineStr"/>
      <c r="H26" s="7" t="inlineStr"/>
      <c r="I26" s="7" t="inlineStr"/>
      <c r="J26" s="7" t="inlineStr"/>
    </row>
    <row r="27">
      <c r="A27" s="7" t="n">
        <v>26</v>
      </c>
      <c r="B27" s="7" t="inlineStr">
        <is>
          <t>B8. Sau bàn giao</t>
        </is>
      </c>
      <c r="C27" s="7" t="inlineStr">
        <is>
          <t>Công trường; Phòng Thiết kế</t>
        </is>
      </c>
      <c r="D27" s="7" t="inlineStr">
        <is>
          <t>Gửi Yêu cầu thay đổi; duyệt; phát hành bản điều chỉnh</t>
        </is>
      </c>
      <c r="E27" s="7" t="inlineStr">
        <is>
          <t>Bản gốc không bị sửa; có bản điều chỉnh mới</t>
        </is>
      </c>
      <c r="F27" s="7" t="inlineStr">
        <is>
          <t>Chưa làm</t>
        </is>
      </c>
      <c r="G27" s="7" t="inlineStr"/>
      <c r="H27" s="7" t="inlineStr"/>
      <c r="I27" s="7" t="inlineStr"/>
      <c r="J27" s="7" t="inlineStr"/>
    </row>
    <row r="28">
      <c r="A28" s="7" t="n">
        <v>27</v>
      </c>
      <c r="B28" s="7" t="inlineStr">
        <is>
          <t>B9. AI Design (công cụ phụ, tính tiền thật)</t>
        </is>
      </c>
      <c r="C28" s="7" t="inlineStr">
        <is>
          <t>Kiến trúc sư. Chỉ thử khi được phép; mỗi lượt tốn tiền.</t>
        </is>
      </c>
      <c r="D28" s="7" t="inlineStr">
        <is>
          <t>Không dùng AI Design, chạy cả luồng thiết kế</t>
        </is>
      </c>
      <c r="E28" s="7" t="inlineStr">
        <is>
          <t>Luồng vẫn chạy bình thường</t>
        </is>
      </c>
      <c r="F28" s="7" t="inlineStr">
        <is>
          <t>Chưa làm</t>
        </is>
      </c>
      <c r="G28" s="7" t="inlineStr"/>
      <c r="H28" s="7" t="inlineStr"/>
      <c r="I28" s="7" t="inlineStr"/>
      <c r="J28" s="7" t="inlineStr"/>
    </row>
    <row r="29">
      <c r="A29" s="7" t="n">
        <v>28</v>
      </c>
      <c r="B29" s="7" t="inlineStr">
        <is>
          <t>B9. AI Design (công cụ phụ, tính tiền thật)</t>
        </is>
      </c>
      <c r="C29" s="7" t="inlineStr">
        <is>
          <t>Kiến trúc sư. Chỉ thử khi được phép; mỗi lượt tốn tiền.</t>
        </is>
      </c>
      <c r="D29" s="7" t="inlineStr">
        <is>
          <t>Nếu được phép chạy một lượt: kết quả ghi rõ là đề xuất</t>
        </is>
      </c>
      <c r="E29" s="7" t="inlineStr">
        <is>
          <t>Có dòng «Không kiểm quy chuẩn xây dựng»; kỹ sư tự quyết</t>
        </is>
      </c>
      <c r="F29" s="7" t="inlineStr">
        <is>
          <t>Chưa làm</t>
        </is>
      </c>
      <c r="G29" s="7" t="inlineStr"/>
      <c r="H29" s="7" t="inlineStr"/>
      <c r="I29" s="7" t="inlineStr"/>
      <c r="J29" s="7" t="inlineStr"/>
    </row>
    <row r="30">
      <c r="A30" s="7" t="n">
        <v>29</v>
      </c>
      <c r="B30" s="7" t="inlineStr">
        <is>
          <t>B9. AI Design (công cụ phụ, tính tiền thật)</t>
        </is>
      </c>
      <c r="C30" s="7" t="inlineStr">
        <is>
          <t>Kiến trúc sư. Chỉ thử khi được phép; mỗi lượt tốn tiền.</t>
        </is>
      </c>
      <c r="D30" s="7" t="inlineStr">
        <is>
          <t>Sửa phương án bằng ô yêu cầu</t>
        </is>
      </c>
      <c r="E30" s="7" t="inlineStr">
        <is>
          <t>Máy áp thay đổi lên bản vẽ đã lưu</t>
        </is>
      </c>
      <c r="F30" s="7" t="inlineStr">
        <is>
          <t>Chưa làm</t>
        </is>
      </c>
      <c r="G30" s="7" t="inlineStr"/>
      <c r="H30" s="7" t="inlineStr"/>
      <c r="I30" s="7" t="inlineStr"/>
      <c r="J30" s="7" t="inlineStr"/>
    </row>
  </sheetData>
  <autoFilter ref="A1:J30"/>
  <conditionalFormatting sqref="F2:F30">
    <cfRule type="cellIs" priority="1" operator="equal" dxfId="0">
      <formula>"Đạt"</formula>
    </cfRule>
    <cfRule type="cellIs" priority="2" operator="equal" dxfId="1">
      <formula>"Lỗi"</formula>
    </cfRule>
    <cfRule type="cellIs" priority="3" operator="equal" dxfId="2">
      <formula>"Không làm được"</formula>
    </cfRule>
  </conditionalFormatting>
  <dataValidations count="1">
    <dataValidation sqref="F2:F30" showDropDown="0" showInputMessage="0" showErrorMessage="0" allowBlank="0" type="list">
      <formula1>"Chưa làm,Đạt,Lỗi,Không làm được"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30" customWidth="1" min="2" max="2"/>
    <col width="28" customWidth="1" min="3" max="3"/>
    <col width="55" customWidth="1" min="4" max="4"/>
    <col width="55" customWidth="1" min="5" max="5"/>
    <col width="16" customWidth="1" min="6" max="6"/>
    <col width="45" customWidth="1" min="7" max="7"/>
    <col width="14" customWidth="1" min="8" max="8"/>
    <col width="12" customWidth="1" min="9" max="9"/>
    <col width="25" customWidth="1" min="10" max="10"/>
  </cols>
  <sheetData>
    <row r="1" ht="30" customHeight="1">
      <c r="A1" s="6" t="inlineStr">
        <is>
          <t>STT</t>
        </is>
      </c>
      <c r="B1" s="6" t="inlineStr">
        <is>
          <t>Nhóm</t>
        </is>
      </c>
      <c r="C1" s="6" t="inlineStr">
        <is>
          <t>Đăng nhập bằng</t>
        </is>
      </c>
      <c r="D1" s="6" t="inlineStr">
        <is>
          <t>Bước làm</t>
        </is>
      </c>
      <c r="E1" s="6" t="inlineStr">
        <is>
          <t>Kết quả đúng phải thấy</t>
        </is>
      </c>
      <c r="F1" s="6" t="inlineStr">
        <is>
          <t>Kết quả</t>
        </is>
      </c>
      <c r="G1" s="6" t="inlineStr">
        <is>
          <t>Ghi chú / mô tả lỗi</t>
        </is>
      </c>
      <c r="H1" s="6" t="inlineStr">
        <is>
          <t>Người test</t>
        </is>
      </c>
      <c r="I1" s="6" t="inlineStr">
        <is>
          <t>Ngày test</t>
        </is>
      </c>
      <c r="J1" s="6" t="inlineStr">
        <is>
          <t>Link ảnh chụp</t>
        </is>
      </c>
    </row>
    <row r="2">
      <c r="A2" s="7" t="n">
        <v>1</v>
      </c>
      <c r="B2" s="7" t="inlineStr">
        <is>
          <t>C1. Khách hàng và kiểm kho</t>
        </is>
      </c>
      <c r="C2" s="7" t="inlineStr">
        <is>
          <t>Kinh doanh (NVS); Kho</t>
        </is>
      </c>
      <c r="D2" s="7" t="inlineStr">
        <is>
          <t>Chọn công ty NVS; tạo khách</t>
        </is>
      </c>
      <c r="E2" s="7" t="inlineStr">
        <is>
          <t>Khách dùng chung được thấy</t>
        </is>
      </c>
      <c r="F2" s="7" t="inlineStr">
        <is>
          <t>Chưa làm</t>
        </is>
      </c>
      <c r="G2" s="7" t="inlineStr"/>
      <c r="H2" s="7" t="inlineStr"/>
      <c r="I2" s="7" t="inlineStr"/>
      <c r="J2" s="7" t="inlineStr"/>
    </row>
    <row r="3">
      <c r="A3" s="7" t="n">
        <v>2</v>
      </c>
      <c r="B3" s="7" t="inlineStr">
        <is>
          <t>C1. Khách hàng và kiểm kho</t>
        </is>
      </c>
      <c r="C3" s="7" t="inlineStr">
        <is>
          <t>Kinh doanh (NVS); Kho</t>
        </is>
      </c>
      <c r="D3" s="7" t="inlineStr">
        <is>
          <t>Kho → Giàn giáo: xem tồn theo loại và lô</t>
        </is>
      </c>
      <c r="E3" s="7" t="inlineStr">
        <is>
          <t>Có tồn từng loại; chọn một ngày cũ xem được tồn tại ngày đó</t>
        </is>
      </c>
      <c r="F3" s="7" t="inlineStr">
        <is>
          <t>Chưa làm</t>
        </is>
      </c>
      <c r="G3" s="7" t="inlineStr"/>
      <c r="H3" s="7" t="inlineStr"/>
      <c r="I3" s="7" t="inlineStr"/>
      <c r="J3" s="7" t="inlineStr"/>
    </row>
    <row r="4">
      <c r="A4" s="7" t="n">
        <v>3</v>
      </c>
      <c r="B4" s="7" t="inlineStr">
        <is>
          <t>C1. Khách hàng và kiểm kho</t>
        </is>
      </c>
      <c r="C4" s="7" t="inlineStr">
        <is>
          <t>Kinh doanh (NVS); Kho</t>
        </is>
      </c>
      <c r="D4" s="7" t="inlineStr">
        <is>
          <t>Dòng tổng của sổ giàn giáo</t>
        </is>
      </c>
      <c r="E4" s="7" t="inlineStr">
        <is>
          <t>Cân; nếu lệch thì có cảnh báo trên dòng</t>
        </is>
      </c>
      <c r="F4" s="7" t="inlineStr">
        <is>
          <t>Chưa làm</t>
        </is>
      </c>
      <c r="G4" s="7" t="inlineStr"/>
      <c r="H4" s="7" t="inlineStr"/>
      <c r="I4" s="7" t="inlineStr"/>
      <c r="J4" s="7" t="inlineStr"/>
    </row>
    <row r="5">
      <c r="A5" s="7" t="n">
        <v>4</v>
      </c>
      <c r="B5" s="7" t="inlineStr">
        <is>
          <t>C2. Lập hợp đồng thuê</t>
        </is>
      </c>
      <c r="C5" s="7" t="inlineStr">
        <is>
          <t>Xưởng – Cho thuê</t>
        </is>
      </c>
      <c r="D5" s="7" t="inlineStr">
        <is>
          <t>Sản xuất &amp; Cho thuê → Cho thuê giàn giáo → Lập hợp đồng thuê</t>
        </is>
      </c>
      <c r="E5" s="7" t="inlineStr">
        <is>
          <t>Khách, công trình, ngày bắt đầu, ngày dự kiến, tiền đặt cọc nhập được</t>
        </is>
      </c>
      <c r="F5" s="7" t="inlineStr">
        <is>
          <t>Chưa làm</t>
        </is>
      </c>
      <c r="G5" s="7" t="inlineStr"/>
      <c r="H5" s="7" t="inlineStr"/>
      <c r="I5" s="7" t="inlineStr"/>
      <c r="J5" s="7" t="inlineStr"/>
    </row>
    <row r="6">
      <c r="A6" s="7" t="n">
        <v>5</v>
      </c>
      <c r="B6" s="7" t="inlineStr">
        <is>
          <t>C2. Lập hợp đồng thuê</t>
        </is>
      </c>
      <c r="C6" s="7" t="inlineStr">
        <is>
          <t>Xưởng – Cho thuê</t>
        </is>
      </c>
      <c r="D6" s="7" t="inlineStr">
        <is>
          <t>Thêm loại giáo, số lượng, đơn giá/ngày</t>
        </is>
      </c>
      <c r="E6" s="7" t="inlineStr">
        <is>
          <t>Đơn giá lưu vào hợp đồng; thử đổi bảng giá sau đó: hợp đồng cũ không đổi</t>
        </is>
      </c>
      <c r="F6" s="7" t="inlineStr">
        <is>
          <t>Chưa làm</t>
        </is>
      </c>
      <c r="G6" s="7" t="inlineStr"/>
      <c r="H6" s="7" t="inlineStr"/>
      <c r="I6" s="7" t="inlineStr"/>
      <c r="J6" s="7" t="inlineStr"/>
    </row>
    <row r="7">
      <c r="A7" s="7" t="n">
        <v>6</v>
      </c>
      <c r="B7" s="7" t="inlineStr">
        <is>
          <t>C2. Lập hợp đồng thuê</t>
        </is>
      </c>
      <c r="C7" s="7" t="inlineStr">
        <is>
          <t>Xưởng – Cho thuê</t>
        </is>
      </c>
      <c r="D7" s="7" t="inlineStr">
        <is>
          <t>Lập hợp đồng với số lượng lớn hơn tồn kho</t>
        </is>
      </c>
      <c r="E7" s="7" t="inlineStr">
        <is>
          <t>Có thông báo kho không đủ</t>
        </is>
      </c>
      <c r="F7" s="7" t="inlineStr">
        <is>
          <t>Chưa làm</t>
        </is>
      </c>
      <c r="G7" s="7" t="inlineStr"/>
      <c r="H7" s="7" t="inlineStr"/>
      <c r="I7" s="7" t="inlineStr"/>
      <c r="J7" s="7" t="inlineStr"/>
    </row>
    <row r="8">
      <c r="A8" s="7" t="n">
        <v>7</v>
      </c>
      <c r="B8" s="7" t="inlineStr">
        <is>
          <t>C2. Lập hợp đồng thuê</t>
        </is>
      </c>
      <c r="C8" s="7" t="inlineStr">
        <is>
          <t>Xưởng – Cho thuê</t>
        </is>
      </c>
      <c r="D8" s="7" t="inlineStr">
        <is>
          <t>Lưu hợp đồng hợp lệ</t>
        </is>
      </c>
      <c r="E8" s="7" t="inlineStr">
        <is>
          <t>Giáo rời kho; tồn kho giảm đúng số lượng; danh sách có số ngày còn lại</t>
        </is>
      </c>
      <c r="F8" s="7" t="inlineStr">
        <is>
          <t>Chưa làm</t>
        </is>
      </c>
      <c r="G8" s="7" t="inlineStr"/>
      <c r="H8" s="7" t="inlineStr"/>
      <c r="I8" s="7" t="inlineStr"/>
      <c r="J8" s="7" t="inlineStr"/>
    </row>
    <row r="9">
      <c r="A9" s="7" t="n">
        <v>8</v>
      </c>
      <c r="B9" s="7" t="inlineStr">
        <is>
          <t>C3. Theo dõi hợp đồng</t>
        </is>
      </c>
      <c r="C9" s="7" t="inlineStr">
        <is>
          <t>Xưởng – Cho thuê</t>
        </is>
      </c>
      <c r="D9" s="7" t="inlineStr">
        <is>
          <t>Mở hợp đồng → Tổng quan</t>
        </is>
      </c>
      <c r="E9" s="7" t="inlineStr">
        <is>
          <t>Từng loại: đã xuất, đã trả, hư hỏng, mất, còn ở khách, bồi thường</t>
        </is>
      </c>
      <c r="F9" s="7" t="inlineStr">
        <is>
          <t>Chưa làm</t>
        </is>
      </c>
      <c r="G9" s="7" t="inlineStr"/>
      <c r="H9" s="7" t="inlineStr"/>
      <c r="I9" s="7" t="inlineStr"/>
      <c r="J9" s="7" t="inlineStr"/>
    </row>
    <row r="10">
      <c r="A10" s="7" t="n">
        <v>9</v>
      </c>
      <c r="B10" s="7" t="inlineStr">
        <is>
          <t>C3. Theo dõi hợp đồng</t>
        </is>
      </c>
      <c r="C10" s="7" t="inlineStr">
        <is>
          <t>Xưởng – Cho thuê</t>
        </is>
      </c>
      <c r="D10" s="7" t="inlineStr">
        <is>
          <t>Cột «Còn ở khách»</t>
        </is>
      </c>
      <c r="E10" s="7">
        <f> đã xuất − đã trả − hư hỏng − mất</f>
        <v/>
      </c>
      <c r="F10" s="7" t="inlineStr">
        <is>
          <t>Chưa làm</t>
        </is>
      </c>
      <c r="G10" s="7" t="inlineStr"/>
      <c r="H10" s="7" t="inlineStr"/>
      <c r="I10" s="7" t="inlineStr"/>
      <c r="J10" s="7" t="inlineStr"/>
    </row>
    <row r="11">
      <c r="A11" s="7" t="n">
        <v>10</v>
      </c>
      <c r="B11" s="7" t="inlineStr">
        <is>
          <t>C4. Thu hồi từng đợt</t>
        </is>
      </c>
      <c r="C11" s="7" t="inlineStr">
        <is>
          <t>Xưởng – Cho thuê; Kho</t>
        </is>
      </c>
      <c r="D11" s="7" t="inlineStr">
        <is>
          <t>Thu hồi giàn giáo: nhập ngày trả, trả đạt, hư hỏng, mất, bồi thường, ghi chú</t>
        </is>
      </c>
      <c r="E11" s="7" t="inlineStr">
        <is>
          <t>Lưu được; hệ thống tính tiền thuê</t>
        </is>
      </c>
      <c r="F11" s="7" t="inlineStr">
        <is>
          <t>Chưa làm</t>
        </is>
      </c>
      <c r="G11" s="7" t="inlineStr"/>
      <c r="H11" s="7" t="inlineStr"/>
      <c r="I11" s="7" t="inlineStr"/>
      <c r="J11" s="7" t="inlineStr"/>
    </row>
    <row r="12">
      <c r="A12" s="7" t="n">
        <v>11</v>
      </c>
      <c r="B12" s="7" t="inlineStr">
        <is>
          <t>C4. Thu hồi từng đợt</t>
        </is>
      </c>
      <c r="C12" s="7" t="inlineStr">
        <is>
          <t>Xưởng – Cho thuê; Kho</t>
        </is>
      </c>
      <c r="D12" s="7" t="inlineStr">
        <is>
          <t>Kiểm tiền: số lượng × đơn giá/ngày × số ngày</t>
        </is>
      </c>
      <c r="E12" s="7" t="inlineStr">
        <is>
          <t>Khớp phép tính tay; ví dụ mẫu 7.149.600 đồng</t>
        </is>
      </c>
      <c r="F12" s="7" t="inlineStr">
        <is>
          <t>Chưa làm</t>
        </is>
      </c>
      <c r="G12" s="7" t="inlineStr"/>
      <c r="H12" s="7" t="inlineStr"/>
      <c r="I12" s="7" t="inlineStr"/>
      <c r="J12" s="7" t="inlineStr"/>
    </row>
    <row r="13">
      <c r="A13" s="7" t="n">
        <v>12</v>
      </c>
      <c r="B13" s="7" t="inlineStr">
        <is>
          <t>C4. Thu hồi từng đợt</t>
        </is>
      </c>
      <c r="C13" s="7" t="inlineStr">
        <is>
          <t>Xưởng – Cho thuê; Kho</t>
        </is>
      </c>
      <c r="D13" s="7" t="inlineStr">
        <is>
          <t>Nhập số trả lớn hơn số còn ở khách</t>
        </is>
      </c>
      <c r="E13" s="7" t="inlineStr">
        <is>
          <t>Bị chặn</t>
        </is>
      </c>
      <c r="F13" s="7" t="inlineStr">
        <is>
          <t>Chưa làm</t>
        </is>
      </c>
      <c r="G13" s="7" t="inlineStr"/>
      <c r="H13" s="7" t="inlineStr"/>
      <c r="I13" s="7" t="inlineStr"/>
      <c r="J13" s="7" t="inlineStr"/>
    </row>
    <row r="14">
      <c r="A14" s="7" t="n">
        <v>13</v>
      </c>
      <c r="B14" s="7" t="inlineStr">
        <is>
          <t>C4. Thu hồi từng đợt</t>
        </is>
      </c>
      <c r="C14" s="7" t="inlineStr">
        <is>
          <t>Xưởng – Cho thuê; Kho</t>
        </is>
      </c>
      <c r="D14" s="7" t="inlineStr">
        <is>
          <t>Trả đợt hai</t>
        </is>
      </c>
      <c r="E14" s="7" t="inlineStr">
        <is>
          <t>Sinh biên bản thứ hai; «còn ở khách» giảm tiếp</t>
        </is>
      </c>
      <c r="F14" s="7" t="inlineStr">
        <is>
          <t>Chưa làm</t>
        </is>
      </c>
      <c r="G14" s="7" t="inlineStr"/>
      <c r="H14" s="7" t="inlineStr"/>
      <c r="I14" s="7" t="inlineStr"/>
      <c r="J14" s="7" t="inlineStr"/>
    </row>
    <row r="15">
      <c r="A15" s="7" t="n">
        <v>14</v>
      </c>
      <c r="B15" s="7" t="inlineStr">
        <is>
          <t>C5. Biên bản và ký</t>
        </is>
      </c>
      <c r="C15" s="7" t="inlineStr">
        <is>
          <t>Xưởng – Cho thuê; đại diện bên thuê</t>
        </is>
      </c>
      <c r="D15" s="7" t="inlineStr">
        <is>
          <t>Tab Biên bản thu hồi: kiểm số liệu từng dòng</t>
        </is>
      </c>
      <c r="E15" s="7" t="inlineStr">
        <is>
          <t>Khớp với đợt trả vừa nhập</t>
        </is>
      </c>
      <c r="F15" s="7" t="inlineStr">
        <is>
          <t>Chưa làm</t>
        </is>
      </c>
      <c r="G15" s="7" t="inlineStr"/>
      <c r="H15" s="7" t="inlineStr"/>
      <c r="I15" s="7" t="inlineStr"/>
      <c r="J15" s="7" t="inlineStr"/>
    </row>
    <row r="16">
      <c r="A16" s="7" t="n">
        <v>15</v>
      </c>
      <c r="B16" s="7" t="inlineStr">
        <is>
          <t>C5. Biên bản và ký</t>
        </is>
      </c>
      <c r="C16" s="7" t="inlineStr">
        <is>
          <t>Xưởng – Cho thuê; đại diện bên thuê</t>
        </is>
      </c>
      <c r="D16" s="7" t="inlineStr">
        <is>
          <t>Ký biên bản: nhập tên đại diện bên thuê, hai bên ký</t>
        </is>
      </c>
      <c r="E16" s="7" t="inlineStr">
        <is>
          <t>Chữ ký lưu; biên bản chuyển trạng thái đã ký</t>
        </is>
      </c>
      <c r="F16" s="7" t="inlineStr">
        <is>
          <t>Chưa làm</t>
        </is>
      </c>
      <c r="G16" s="7" t="inlineStr"/>
      <c r="H16" s="7" t="inlineStr"/>
      <c r="I16" s="7" t="inlineStr"/>
      <c r="J16" s="7" t="inlineStr"/>
    </row>
    <row r="17">
      <c r="A17" s="7" t="n">
        <v>16</v>
      </c>
      <c r="B17" s="7" t="inlineStr">
        <is>
          <t>C5. Biên bản và ký</t>
        </is>
      </c>
      <c r="C17" s="7" t="inlineStr">
        <is>
          <t>Xưởng – Cho thuê; đại diện bên thuê</t>
        </is>
      </c>
      <c r="D17" s="7" t="inlineStr">
        <is>
          <t>Thử sửa biên bản đã ký</t>
        </is>
      </c>
      <c r="E17" s="7" t="inlineStr">
        <is>
          <t>Bị khoá; chỉ chứng từ điều chỉnh có người duyệt</t>
        </is>
      </c>
      <c r="F17" s="7" t="inlineStr">
        <is>
          <t>Chưa làm</t>
        </is>
      </c>
      <c r="G17" s="7" t="inlineStr"/>
      <c r="H17" s="7" t="inlineStr"/>
      <c r="I17" s="7" t="inlineStr"/>
      <c r="J17" s="7" t="inlineStr"/>
    </row>
    <row r="18">
      <c r="A18" s="7" t="n">
        <v>17</v>
      </c>
      <c r="B18" s="7" t="inlineStr">
        <is>
          <t>C5. Biên bản và ký</t>
        </is>
      </c>
      <c r="C18" s="7" t="inlineStr">
        <is>
          <t>Xưởng – Cho thuê; đại diện bên thuê</t>
        </is>
      </c>
      <c r="D18" s="7" t="inlineStr">
        <is>
          <t>Tải ảnh biên bản giấy đã ký (nếu có)</t>
        </is>
      </c>
      <c r="E18" s="7" t="inlineStr">
        <is>
          <t>Đính kèm được</t>
        </is>
      </c>
      <c r="F18" s="7" t="inlineStr">
        <is>
          <t>Chưa làm</t>
        </is>
      </c>
      <c r="G18" s="7" t="inlineStr"/>
      <c r="H18" s="7" t="inlineStr"/>
      <c r="I18" s="7" t="inlineStr"/>
      <c r="J18" s="7" t="inlineStr"/>
    </row>
    <row r="19">
      <c r="A19" s="7" t="n">
        <v>18</v>
      </c>
      <c r="B19" s="7" t="inlineStr">
        <is>
          <t>C6. Kế toán và sổ giàn giáo</t>
        </is>
      </c>
      <c r="C19" s="7" t="inlineStr">
        <is>
          <t>Kế toán; Kho</t>
        </is>
      </c>
      <c r="D19" s="7" t="inlineStr">
        <is>
          <t>Kế toán nhận thông báo biên bản đã ký</t>
        </is>
      </c>
      <c r="E19" s="7" t="inlineStr">
        <is>
          <t>Có thông báo</t>
        </is>
      </c>
      <c r="F19" s="7" t="inlineStr">
        <is>
          <t>Chưa làm</t>
        </is>
      </c>
      <c r="G19" s="7" t="inlineStr"/>
      <c r="H19" s="7" t="inlineStr"/>
      <c r="I19" s="7" t="inlineStr"/>
      <c r="J19" s="7" t="inlineStr"/>
    </row>
    <row r="20">
      <c r="A20" s="7" t="n">
        <v>19</v>
      </c>
      <c r="B20" s="7" t="inlineStr">
        <is>
          <t>C6. Kế toán và sổ giàn giáo</t>
        </is>
      </c>
      <c r="C20" s="7" t="inlineStr">
        <is>
          <t>Kế toán; Kho</t>
        </is>
      </c>
      <c r="D20" s="7" t="inlineStr">
        <is>
          <t>Công nợ → Lập khoản phải thu</t>
        </is>
      </c>
      <c r="E20" s="7" t="inlineStr">
        <is>
          <t>Số tiền = tiền thuê + bồi thường từ biên bản; không nhập tay</t>
        </is>
      </c>
      <c r="F20" s="7" t="inlineStr">
        <is>
          <t>Chưa làm</t>
        </is>
      </c>
      <c r="G20" s="7" t="inlineStr"/>
      <c r="H20" s="7" t="inlineStr"/>
      <c r="I20" s="7" t="inlineStr"/>
      <c r="J20" s="7" t="inlineStr"/>
    </row>
    <row r="21">
      <c r="A21" s="7" t="n">
        <v>20</v>
      </c>
      <c r="B21" s="7" t="inlineStr">
        <is>
          <t>C6. Kế toán và sổ giàn giáo</t>
        </is>
      </c>
      <c r="C21" s="7" t="inlineStr">
        <is>
          <t>Kế toán; Kho</t>
        </is>
      </c>
      <c r="D21" s="7" t="inlineStr">
        <is>
          <t>Ghi nhận thu khi khách trả</t>
        </is>
      </c>
      <c r="E21" s="7" t="inlineStr">
        <is>
          <t>Công nợ giảm đúng</t>
        </is>
      </c>
      <c r="F21" s="7" t="inlineStr">
        <is>
          <t>Chưa làm</t>
        </is>
      </c>
      <c r="G21" s="7" t="inlineStr"/>
      <c r="H21" s="7" t="inlineStr"/>
      <c r="I21" s="7" t="inlineStr"/>
      <c r="J21" s="7" t="inlineStr"/>
    </row>
    <row r="22">
      <c r="A22" s="7" t="n">
        <v>21</v>
      </c>
      <c r="B22" s="7" t="inlineStr">
        <is>
          <t>C6. Kế toán và sổ giàn giáo</t>
        </is>
      </c>
      <c r="C22" s="7" t="inlineStr">
        <is>
          <t>Kế toán; Kho</t>
        </is>
      </c>
      <c r="D22" s="7" t="inlineStr">
        <is>
          <t>Sổ giàn giáo sau thu hồi</t>
        </is>
      </c>
      <c r="E22" s="7" t="inlineStr">
        <is>
          <t>Số ở kho và ở khách khớp biên bản; dòng tổng cân</t>
        </is>
      </c>
      <c r="F22" s="7" t="inlineStr">
        <is>
          <t>Chưa làm</t>
        </is>
      </c>
      <c r="G22" s="7" t="inlineStr"/>
      <c r="H22" s="7" t="inlineStr"/>
      <c r="I22" s="7" t="inlineStr"/>
      <c r="J22" s="7" t="inlineStr"/>
    </row>
  </sheetData>
  <autoFilter ref="A1:J22"/>
  <conditionalFormatting sqref="F2:F22">
    <cfRule type="cellIs" priority="1" operator="equal" dxfId="0">
      <formula>"Đạt"</formula>
    </cfRule>
    <cfRule type="cellIs" priority="2" operator="equal" dxfId="1">
      <formula>"Lỗi"</formula>
    </cfRule>
    <cfRule type="cellIs" priority="3" operator="equal" dxfId="2">
      <formula>"Không làm được"</formula>
    </cfRule>
  </conditionalFormatting>
  <dataValidations count="1">
    <dataValidation sqref="F2:F22" showDropDown="0" showInputMessage="0" showErrorMessage="0" allowBlank="0" type="list">
      <formula1>"Chưa làm,Đạt,Lỗi,Không làm được"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2026-10-11T09:03:39Z</dcterms:created>
  <dcterms:modified xsi:type="dcterms:W3CDTF">2026-10-11T09:03:39Z</dcterms:modified>
</cp:coreProperties>
</file>